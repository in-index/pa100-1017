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\Desktop\paindex-main\PA-Index-master\data\"/>
    </mc:Choice>
  </mc:AlternateContent>
  <xr:revisionPtr revIDLastSave="0" documentId="13_ncr:1_{7A4FA258-30AD-40F7-8736-8ED38BF9C60C}" xr6:coauthVersionLast="47" xr6:coauthVersionMax="47" xr10:uidLastSave="{00000000-0000-0000-0000-000000000000}"/>
  <bookViews>
    <workbookView xWindow="30825" yWindow="1620" windowWidth="24390" windowHeight="11760" xr2:uid="{C42BFBAB-351F-4B1C-81B6-3BA4E3BDF3FF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2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<sst xmlns="http://schemas.openxmlformats.org/spreadsheetml/2006/main" count="585" uniqueCount="295">
  <si>
    <t>Ticker Short</t>
  </si>
  <si>
    <t>Ticker</t>
  </si>
  <si>
    <t>Name</t>
  </si>
  <si>
    <t>Weight</t>
  </si>
  <si>
    <t>Shares</t>
  </si>
  <si>
    <t>Price</t>
  </si>
  <si>
    <t xml:space="preserve">Shares Out LF
</t>
  </si>
  <si>
    <t xml:space="preserve">Curr Shares Out
</t>
  </si>
  <si>
    <t xml:space="preserve">Equity Float
</t>
  </si>
  <si>
    <t xml:space="preserve">Market Cap
</t>
  </si>
  <si>
    <t xml:space="preserve">GICS Sector
</t>
  </si>
  <si>
    <t xml:space="preserve">GICS Ind Name
</t>
  </si>
  <si>
    <t xml:space="preserve">State of Domicile
</t>
  </si>
  <si>
    <t>Market value</t>
  </si>
  <si>
    <t>CMCSA UW Equity</t>
  </si>
  <si>
    <t>Comcast Corp</t>
  </si>
  <si>
    <t>Communication Services</t>
  </si>
  <si>
    <t>Media</t>
  </si>
  <si>
    <t>PA</t>
  </si>
  <si>
    <t>AUR UW Equity</t>
  </si>
  <si>
    <t>Aurora Innovation Inc</t>
  </si>
  <si>
    <t>Information Technology</t>
  </si>
  <si>
    <t>Software</t>
  </si>
  <si>
    <t>KHC UW Equity</t>
  </si>
  <si>
    <t>Kraft Heinz Co/The</t>
  </si>
  <si>
    <t>Consumer Staples</t>
  </si>
  <si>
    <t>Food Products</t>
  </si>
  <si>
    <t>VTRS UW Equity</t>
  </si>
  <si>
    <t>Viatris Inc</t>
  </si>
  <si>
    <t>Health Care</t>
  </si>
  <si>
    <t>Pharmaceuticals</t>
  </si>
  <si>
    <t>PPL UN Equity</t>
  </si>
  <si>
    <t>PPL Corp</t>
  </si>
  <si>
    <t>Utilities</t>
  </si>
  <si>
    <t>Electric Utilities</t>
  </si>
  <si>
    <t>AVTR UN Equity</t>
  </si>
  <si>
    <t>Avantor Inc</t>
  </si>
  <si>
    <t>Life Sciences Tools &amp; Services</t>
  </si>
  <si>
    <t>EQT UN Equity</t>
  </si>
  <si>
    <t>EQT Corp</t>
  </si>
  <si>
    <t>Energy</t>
  </si>
  <si>
    <t>Oil, Gas &amp; Consumable Fuels</t>
  </si>
  <si>
    <t>HWM UN Equity</t>
  </si>
  <si>
    <t>Howmet Aerospace Inc</t>
  </si>
  <si>
    <t>Industrials</t>
  </si>
  <si>
    <t>Aerospace &amp; Defense</t>
  </si>
  <si>
    <t>PNC UN Equity</t>
  </si>
  <si>
    <t>PNC Financial Services Group Inc/The</t>
  </si>
  <si>
    <t>Financials</t>
  </si>
  <si>
    <t>Banks</t>
  </si>
  <si>
    <t>FNB UN Equity</t>
  </si>
  <si>
    <t>FNB Corp/PA</t>
  </si>
  <si>
    <t>FOLD UQ Equity</t>
  </si>
  <si>
    <t>Amicus Therapeutics Inc</t>
  </si>
  <si>
    <t>Biotechnology</t>
  </si>
  <si>
    <t>BSY UW Equity</t>
  </si>
  <si>
    <t>Bentley Systems Inc</t>
  </si>
  <si>
    <t>WTRG UN Equity</t>
  </si>
  <si>
    <t>Essential Utilities Inc</t>
  </si>
  <si>
    <t>Water Utilities</t>
  </si>
  <si>
    <t>GLPI UW Equity</t>
  </si>
  <si>
    <t>Gaming and Leisure Properties Inc</t>
  </si>
  <si>
    <t>Real Estate</t>
  </si>
  <si>
    <t>Specialized REITs</t>
  </si>
  <si>
    <t>ARMK UN Equity</t>
  </si>
  <si>
    <t>Aramark</t>
  </si>
  <si>
    <t>Consumer Discretionary</t>
  </si>
  <si>
    <t>Hotels, Restaurants &amp; Leisure</t>
  </si>
  <si>
    <t>AA UN Equity</t>
  </si>
  <si>
    <t>Alcoa Corp</t>
  </si>
  <si>
    <t>Materials</t>
  </si>
  <si>
    <t>Metals &amp; Mining</t>
  </si>
  <si>
    <t>IRT UN Equity</t>
  </si>
  <si>
    <t>Independence Realty Trust Inc</t>
  </si>
  <si>
    <t>Residential REITs</t>
  </si>
  <si>
    <t>AME UN Equity</t>
  </si>
  <si>
    <t>AMETEK Inc</t>
  </si>
  <si>
    <t>Electrical Equipment</t>
  </si>
  <si>
    <t>CUBE UN Equity</t>
  </si>
  <si>
    <t>CubeSmart</t>
  </si>
  <si>
    <t>PPG UN Equity</t>
  </si>
  <si>
    <t>PPG Industries Inc</t>
  </si>
  <si>
    <t>Chemicals</t>
  </si>
  <si>
    <t>APD UN Equity</t>
  </si>
  <si>
    <t>Air Products and Chemicals Inc</t>
  </si>
  <si>
    <t>AXTA UN Equity</t>
  </si>
  <si>
    <t>Axalta Coating Systems Ltd</t>
  </si>
  <si>
    <t>UGI UN Equity</t>
  </si>
  <si>
    <t>UGI Corp</t>
  </si>
  <si>
    <t>Gas Utilities</t>
  </si>
  <si>
    <t>HSY UN Equity</t>
  </si>
  <si>
    <t>Hershey Co/The</t>
  </si>
  <si>
    <t>COR UN Equity</t>
  </si>
  <si>
    <t>Cencora Inc</t>
  </si>
  <si>
    <t>Health Care Providers &amp; Services</t>
  </si>
  <si>
    <t>FULT UW Equity</t>
  </si>
  <si>
    <t>Fulton Financial Corp</t>
  </si>
  <si>
    <t>AEO UN Equity</t>
  </si>
  <si>
    <t>American Eagle Outfitters Inc</t>
  </si>
  <si>
    <t>Specialty Retail</t>
  </si>
  <si>
    <t>BDN UN Equity</t>
  </si>
  <si>
    <t>Brandywine Realty Trust</t>
  </si>
  <si>
    <t>Office REITs</t>
  </si>
  <si>
    <t>WAB UN Equity</t>
  </si>
  <si>
    <t>Westinghouse Air Brake Technologies Corp</t>
  </si>
  <si>
    <t>Machinery</t>
  </si>
  <si>
    <t>LNC UN Equity</t>
  </si>
  <si>
    <t>Lincoln National Corp</t>
  </si>
  <si>
    <t>Insurance</t>
  </si>
  <si>
    <t>VERX UQ Equity</t>
  </si>
  <si>
    <t>Vertex Inc</t>
  </si>
  <si>
    <t>COHR UN Equity</t>
  </si>
  <si>
    <t>Coherent Corp</t>
  </si>
  <si>
    <t>Electronic Equipment, Instruments &amp; Components</t>
  </si>
  <si>
    <t>PENN UW Equity</t>
  </si>
  <si>
    <t>Penn Entertainment Inc</t>
  </si>
  <si>
    <t>CNX UN Equity</t>
  </si>
  <si>
    <t>CNX Resources Corp</t>
  </si>
  <si>
    <t>MNTK UR Equity</t>
  </si>
  <si>
    <t>Montauk Renewables Inc</t>
  </si>
  <si>
    <t>Independent Power and Renewable Electricity Producers</t>
  </si>
  <si>
    <t>UTZ UN Equity</t>
  </si>
  <si>
    <t>Utz Brands Inc</t>
  </si>
  <si>
    <t>RDN UN Equity</t>
  </si>
  <si>
    <t>Radian Group Inc</t>
  </si>
  <si>
    <t>Financial Services</t>
  </si>
  <si>
    <t>VSH UN Equity</t>
  </si>
  <si>
    <t>Vishay Intertechnology Inc</t>
  </si>
  <si>
    <t>GMED UN Equity</t>
  </si>
  <si>
    <t>Globus Medical Inc</t>
  </si>
  <si>
    <t>Health Care Equipment &amp; Supplies</t>
  </si>
  <si>
    <t>AHCO UR Equity</t>
  </si>
  <si>
    <t>AdaptHealth Corp</t>
  </si>
  <si>
    <t>SEM UN Equity</t>
  </si>
  <si>
    <t>Select Medical Holdings Corp</t>
  </si>
  <si>
    <t>CON UN Equity</t>
  </si>
  <si>
    <t>Concentra Group Holdings Parent Inc</t>
  </si>
  <si>
    <t>NWBI UW Equity</t>
  </si>
  <si>
    <t>Northwest Bancshares Inc</t>
  </si>
  <si>
    <t>FMC UN Equity</t>
  </si>
  <si>
    <t>FMC Corp</t>
  </si>
  <si>
    <t>SEIC UW Equity</t>
  </si>
  <si>
    <t>SEI Investments Co</t>
  </si>
  <si>
    <t>Capital Markets</t>
  </si>
  <si>
    <t>ECVT UN Equity</t>
  </si>
  <si>
    <t>Ecovyst Inc</t>
  </si>
  <si>
    <t>ACRS UW Equity</t>
  </si>
  <si>
    <t>Aclaris Therapeutics Inc</t>
  </si>
  <si>
    <t>FCF UN Equity</t>
  </si>
  <si>
    <t>First Commonwealth Financial Corp</t>
  </si>
  <si>
    <t>TOL UN Equity</t>
  </si>
  <si>
    <t>Toll Brothers Inc</t>
  </si>
  <si>
    <t>Household Durables</t>
  </si>
  <si>
    <t>BV UN Equity</t>
  </si>
  <si>
    <t>BrightView Holdings Inc</t>
  </si>
  <si>
    <t>Commercial Services &amp; Supplies</t>
  </si>
  <si>
    <t>URBN UW Equity</t>
  </si>
  <si>
    <t>Urban Outfitters Inc</t>
  </si>
  <si>
    <t>FOUR UN Equity</t>
  </si>
  <si>
    <t>Shift4 Payments Inc</t>
  </si>
  <si>
    <t>ANSS UW Equity</t>
  </si>
  <si>
    <t>ANSYS Inc</t>
  </si>
  <si>
    <t>NVRI UN Equity</t>
  </si>
  <si>
    <t>Enviri Corp</t>
  </si>
  <si>
    <t>DKS UN Equity</t>
  </si>
  <si>
    <t>Dick's Sporting Goods Inc</t>
  </si>
  <si>
    <t>TGI UN Equity</t>
  </si>
  <si>
    <t>Triumph Group Inc</t>
  </si>
  <si>
    <t>KMT UN Equity</t>
  </si>
  <si>
    <t>Kennametal Inc</t>
  </si>
  <si>
    <t>OSUR UW Equity</t>
  </si>
  <si>
    <t>OraSure Technologies Inc</t>
  </si>
  <si>
    <t>CTLP UW Equity</t>
  </si>
  <si>
    <t>Cantaloupe Inc</t>
  </si>
  <si>
    <t>HCSG UW Equity</t>
  </si>
  <si>
    <t>Healthcare Services Group Inc</t>
  </si>
  <si>
    <t>WST UN Equity</t>
  </si>
  <si>
    <t>West Pharmaceutical Services Inc</t>
  </si>
  <si>
    <t>UIS UN Equity</t>
  </si>
  <si>
    <t>Unisys Corp</t>
  </si>
  <si>
    <t>IT Services</t>
  </si>
  <si>
    <t>MLYS UW Equity</t>
  </si>
  <si>
    <t>Mineralys Therapeutics Inc</t>
  </si>
  <si>
    <t>LRMR UQ Equity</t>
  </si>
  <si>
    <t>Larimar Therapeutics Inc</t>
  </si>
  <si>
    <t>UHS UN Equity</t>
  </si>
  <si>
    <t>Universal Health Services Inc</t>
  </si>
  <si>
    <t>OLLI UQ Equity</t>
  </si>
  <si>
    <t>Ollie's Bargain Outlet Holdings Inc</t>
  </si>
  <si>
    <t>Broadline Retail</t>
  </si>
  <si>
    <t>HRMY UQ Equity</t>
  </si>
  <si>
    <t>Harmony Biosciences Holdings Inc</t>
  </si>
  <si>
    <t>EPAM UN Equity</t>
  </si>
  <si>
    <t>EPAM Systems Inc</t>
  </si>
  <si>
    <t>STIM UQ Equity</t>
  </si>
  <si>
    <t>Neuronetics Inc</t>
  </si>
  <si>
    <t>HLNE UW Equity</t>
  </si>
  <si>
    <t>Hamilton Lane Inc</t>
  </si>
  <si>
    <t>FIVE UW Equity</t>
  </si>
  <si>
    <t>Five Below Inc</t>
  </si>
  <si>
    <t>CNR UN Equity</t>
  </si>
  <si>
    <t>Core Natural Resources Inc</t>
  </si>
  <si>
    <t>CRS UN Equity</t>
  </si>
  <si>
    <t>Carpenter Technology Corp</t>
  </si>
  <si>
    <t>WCC UN Equity</t>
  </si>
  <si>
    <t>WESCO International Inc</t>
  </si>
  <si>
    <t>Trading Companies &amp; Distributors</t>
  </si>
  <si>
    <t>DUOL UW Equity</t>
  </si>
  <si>
    <t>Duolingo Inc</t>
  </si>
  <si>
    <t>Diversified Consumer Services</t>
  </si>
  <si>
    <t>TFX UN Equity</t>
  </si>
  <si>
    <t>Teleflex Inc</t>
  </si>
  <si>
    <t>AWI UN Equity</t>
  </si>
  <si>
    <t>Armstrong World Industries Inc</t>
  </si>
  <si>
    <t>Building Products</t>
  </si>
  <si>
    <t>MSA UN Equity</t>
  </si>
  <si>
    <t>MSA Safety Inc</t>
  </si>
  <si>
    <t>ENS UN Equity</t>
  </si>
  <si>
    <t>EnerSys</t>
  </si>
  <si>
    <t>STBA UW Equity</t>
  </si>
  <si>
    <t>S&amp;T Bancorp Inc</t>
  </si>
  <si>
    <t>LNKB UR Equity</t>
  </si>
  <si>
    <t>LINKBANCORP Inc</t>
  </si>
  <si>
    <t>DGICA UW Equity</t>
  </si>
  <si>
    <t>Donegal Group Inc</t>
  </si>
  <si>
    <t>TSE UN Equity</t>
  </si>
  <si>
    <t>Trinseo PLC</t>
  </si>
  <si>
    <t>AVBP UQ Equity</t>
  </si>
  <si>
    <t>ArriVent Biopharma Inc</t>
  </si>
  <si>
    <t>CUBI UN Equity</t>
  </si>
  <si>
    <t>Customers Bancorp Inc</t>
  </si>
  <si>
    <t>BKSY UN Equity</t>
  </si>
  <si>
    <t>BlackSky Technology Inc</t>
  </si>
  <si>
    <t>Professional Services</t>
  </si>
  <si>
    <t>MATW UW Equity</t>
  </si>
  <si>
    <t>Matthews International Corp</t>
  </si>
  <si>
    <t>DORM UW Equity</t>
  </si>
  <si>
    <t>Dorman Products Inc</t>
  </si>
  <si>
    <t>Automobile Components</t>
  </si>
  <si>
    <t>UVSP UW Equity</t>
  </si>
  <si>
    <t>Univest Financial Corp</t>
  </si>
  <si>
    <t>KRYS UW Equity</t>
  </si>
  <si>
    <t>Krystal Biotech Inc</t>
  </si>
  <si>
    <t>WMK UN Equity</t>
  </si>
  <si>
    <t>Weis Markets Inc</t>
  </si>
  <si>
    <t>Consumer Staples Distribution &amp; Retail</t>
  </si>
  <si>
    <t>MDGL UW Equity</t>
  </si>
  <si>
    <t>Madrigal Pharmaceuticals Inc</t>
  </si>
  <si>
    <t>CCNE UW Equity</t>
  </si>
  <si>
    <t>CNB Financial Corp/PA</t>
  </si>
  <si>
    <t>KOP UN Equity</t>
  </si>
  <si>
    <t>Koppers Holdings Inc</t>
  </si>
  <si>
    <t>ORRF UR Equity</t>
  </si>
  <si>
    <t>Orrstown Financial Services Inc</t>
  </si>
  <si>
    <t>MPB UQ Equity</t>
  </si>
  <si>
    <t>Mid Penn Bancorp Inc</t>
  </si>
  <si>
    <t>KWR UN Equity</t>
  </si>
  <si>
    <t>Quaker Chemical Corp</t>
  </si>
  <si>
    <t>CZNC UR Equity</t>
  </si>
  <si>
    <t>Citizens &amp; Northern Corp</t>
  </si>
  <si>
    <t>YORW UW Equity</t>
  </si>
  <si>
    <t>York Water Co/The</t>
  </si>
  <si>
    <t>UHT UN Equity</t>
  </si>
  <si>
    <t>Universal Health Realty Income Trust</t>
  </si>
  <si>
    <t>Health Care REITs</t>
  </si>
  <si>
    <t>VPG UN Equity</t>
  </si>
  <si>
    <t>Vishay Precision Group Inc</t>
  </si>
  <si>
    <t>LMB UR Equity</t>
  </si>
  <si>
    <t>Limbach Holdings Inc</t>
  </si>
  <si>
    <t>Construction &amp; Engineering</t>
  </si>
  <si>
    <t>MRBK UW Equity</t>
  </si>
  <si>
    <t>Meridian Corp</t>
  </si>
  <si>
    <t>ACNB UR Equity</t>
  </si>
  <si>
    <t>ACNB Corp</t>
  </si>
  <si>
    <t>FSTR UW Equity</t>
  </si>
  <si>
    <t>L B Foster Co</t>
  </si>
  <si>
    <t>ESSA UW Equity</t>
  </si>
  <si>
    <t>ESSA Bancorp Inc</t>
  </si>
  <si>
    <t>OFLX UQ Equity</t>
  </si>
  <si>
    <t>Omega Flex Inc</t>
  </si>
  <si>
    <t>PFIS UW Equity</t>
  </si>
  <si>
    <t>Peoples Financial Services Corp</t>
  </si>
  <si>
    <t>NWFL UQ Equity</t>
  </si>
  <si>
    <t>Norwood Financial Corp</t>
  </si>
  <si>
    <t>PWOD UW Equity</t>
  </si>
  <si>
    <t>Penns Woods Bancorp Inc</t>
  </si>
  <si>
    <t>FDBC UQ Equity</t>
  </si>
  <si>
    <t>Fidelity D&amp;D Bancorp Inc</t>
  </si>
  <si>
    <t>CBFV UQ Equity</t>
  </si>
  <si>
    <t>CB Financial Services Inc</t>
  </si>
  <si>
    <t>CZFS UR Equity</t>
  </si>
  <si>
    <t>Citizens Financial Services Inc</t>
  </si>
  <si>
    <t>FRAF UR Equity</t>
  </si>
  <si>
    <t>Franklin Financial Services Corp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</si>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</sst>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8C78DE4C-FE6A-46FF-AF92-F08B4FEDD8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6D92-CD81-4AEA-95F9-78671AFF2E02}">
  <sheetPr codeName="Sheet1"/>
  <dimension ref="A1:O115"/>
  <sheetViews>
    <sheetView tabSelected="1" workbookViewId="0">
      <selection activeCell="O1" sqref="O1"/>
    </sheetView>
  </sheetViews>
  <sheetFormatPr defaultRowHeight="15" x14ac:dyDescent="0.25"/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294</v>
      </c>
    </row>
    <row r="2" spans="1:15" x14ac:dyDescent="0.25">
      <c r="A2" t="str">
        <f>LEFT(B2,SEARCH(" ",B2)-1)</f>
        <v>CMCSA</v>
      </c>
      <c r="B2" t="s">
        <v>14</v>
      </c>
      <c r="C2" t="s">
        <v>15</v>
      </c>
      <c r="D2">
        <v>0.12336954383362836</v>
      </c>
      <c r="E2">
        <v>3744297472</v>
      </c>
      <c r="F2">
        <v>35.69</v>
      </c>
      <c r="G2">
        <v>3744297472</v>
      </c>
      <c r="H2">
        <v>3724259584</v>
      </c>
      <c r="I2">
        <v>3695396608</v>
      </c>
      <c r="J2">
        <v>133255897088</v>
      </c>
      <c r="K2" t="s">
        <v>16</v>
      </c>
      <c r="L2" t="s">
        <v>17</v>
      </c>
      <c r="M2" t="s">
        <v>18</v>
      </c>
      <c r="N2">
        <v>133633976775.67999</v>
      </c>
      <c r="O2" t="str">
        <f>K2</f>
        <v>Communication Services</v>
      </c>
    </row>
    <row r="3" spans="1:15" x14ac:dyDescent="0.25">
      <c r="A3" t="str">
        <f t="shared" ref="A3:A66" si="0">LEFT(B3,SEARCH(" ",B3)-1)</f>
        <v>AUR</v>
      </c>
      <c r="B3" t="s">
        <v>19</v>
      </c>
      <c r="C3" t="s">
        <v>20</v>
      </c>
      <c r="D3">
        <v>8.5237019907195271E-3</v>
      </c>
      <c r="E3">
        <v>1762000000</v>
      </c>
      <c r="F3">
        <v>5.24</v>
      </c>
      <c r="G3">
        <v>1762000000</v>
      </c>
      <c r="H3">
        <v>1418704384</v>
      </c>
      <c r="I3">
        <v>1342649728</v>
      </c>
      <c r="J3">
        <v>9268903936</v>
      </c>
      <c r="K3" t="s">
        <v>21</v>
      </c>
      <c r="L3" t="s">
        <v>22</v>
      </c>
      <c r="M3" t="s">
        <v>18</v>
      </c>
      <c r="N3">
        <v>9232880000</v>
      </c>
      <c r="O3" t="str">
        <f t="shared" ref="O3:O66" si="1">K3</f>
        <v>Information Technology</v>
      </c>
    </row>
    <row r="4" spans="1:15" x14ac:dyDescent="0.25">
      <c r="A4" t="str">
        <f t="shared" si="0"/>
        <v>KHC</v>
      </c>
      <c r="B4" t="s">
        <v>23</v>
      </c>
      <c r="C4" t="s">
        <v>24</v>
      </c>
      <c r="D4">
        <v>2.838958793974334E-2</v>
      </c>
      <c r="E4">
        <v>1191000064</v>
      </c>
      <c r="F4">
        <v>25.82</v>
      </c>
      <c r="G4">
        <v>1191000064</v>
      </c>
      <c r="H4">
        <v>1183542144</v>
      </c>
      <c r="I4">
        <v>838478272</v>
      </c>
      <c r="J4">
        <v>30559057920</v>
      </c>
      <c r="K4" t="s">
        <v>25</v>
      </c>
      <c r="L4" t="s">
        <v>26</v>
      </c>
      <c r="M4" t="s">
        <v>18</v>
      </c>
      <c r="N4">
        <v>30751621652.48</v>
      </c>
      <c r="O4" t="str">
        <f t="shared" si="1"/>
        <v>Consumer Staples</v>
      </c>
    </row>
    <row r="5" spans="1:15" x14ac:dyDescent="0.25">
      <c r="A5" t="str">
        <f t="shared" si="0"/>
        <v>VTRS</v>
      </c>
      <c r="B5" t="s">
        <v>27</v>
      </c>
      <c r="C5" t="s">
        <v>28</v>
      </c>
      <c r="D5">
        <v>9.7759762039055873E-3</v>
      </c>
      <c r="E5">
        <v>1185816832</v>
      </c>
      <c r="F5">
        <v>8.93</v>
      </c>
      <c r="G5">
        <v>1185816832</v>
      </c>
      <c r="H5">
        <v>1173681920</v>
      </c>
      <c r="I5">
        <v>1166353792</v>
      </c>
      <c r="J5">
        <v>10480979968</v>
      </c>
      <c r="K5" t="s">
        <v>29</v>
      </c>
      <c r="L5" t="s">
        <v>30</v>
      </c>
      <c r="M5" t="s">
        <v>18</v>
      </c>
      <c r="N5">
        <v>10589344309.76</v>
      </c>
      <c r="O5" t="str">
        <f t="shared" si="1"/>
        <v>Health Care</v>
      </c>
    </row>
    <row r="6" spans="1:15" x14ac:dyDescent="0.25">
      <c r="A6" t="str">
        <f t="shared" si="0"/>
        <v>PPL</v>
      </c>
      <c r="B6" t="s">
        <v>31</v>
      </c>
      <c r="C6" t="s">
        <v>32</v>
      </c>
      <c r="D6">
        <v>2.3123088913458403E-2</v>
      </c>
      <c r="E6">
        <v>739065984</v>
      </c>
      <c r="F6">
        <v>33.89</v>
      </c>
      <c r="G6">
        <v>739065984</v>
      </c>
      <c r="H6">
        <v>739263936</v>
      </c>
      <c r="I6">
        <v>710363200</v>
      </c>
      <c r="J6">
        <v>25053652992</v>
      </c>
      <c r="K6" t="s">
        <v>33</v>
      </c>
      <c r="L6" t="s">
        <v>34</v>
      </c>
      <c r="M6" t="s">
        <v>18</v>
      </c>
      <c r="N6">
        <v>25046946197.760002</v>
      </c>
      <c r="O6" t="str">
        <f t="shared" si="1"/>
        <v>Utilities</v>
      </c>
    </row>
    <row r="7" spans="1:15" x14ac:dyDescent="0.25">
      <c r="A7" t="str">
        <f t="shared" si="0"/>
        <v>AVTR</v>
      </c>
      <c r="B7" t="s">
        <v>35</v>
      </c>
      <c r="C7" t="s">
        <v>36</v>
      </c>
      <c r="D7">
        <v>8.4684125424763727E-3</v>
      </c>
      <c r="E7">
        <v>681500032</v>
      </c>
      <c r="F7">
        <v>13.46</v>
      </c>
      <c r="G7">
        <v>681500032</v>
      </c>
      <c r="H7">
        <v>681429632</v>
      </c>
      <c r="I7">
        <v>652104960</v>
      </c>
      <c r="J7">
        <v>9172042752</v>
      </c>
      <c r="K7" t="s">
        <v>29</v>
      </c>
      <c r="L7" t="s">
        <v>37</v>
      </c>
      <c r="M7" t="s">
        <v>18</v>
      </c>
      <c r="N7">
        <v>9172990430.7200012</v>
      </c>
      <c r="O7" t="str">
        <f t="shared" si="1"/>
        <v>Health Care</v>
      </c>
    </row>
    <row r="8" spans="1:15" x14ac:dyDescent="0.25">
      <c r="A8" t="str">
        <f t="shared" si="0"/>
        <v>EQT</v>
      </c>
      <c r="B8" t="s">
        <v>38</v>
      </c>
      <c r="C8" t="s">
        <v>39</v>
      </c>
      <c r="D8">
        <v>3.2228131358068256E-2</v>
      </c>
      <c r="E8">
        <v>598585984</v>
      </c>
      <c r="F8">
        <v>58.32</v>
      </c>
      <c r="G8">
        <v>598585984</v>
      </c>
      <c r="H8">
        <v>598625984</v>
      </c>
      <c r="I8">
        <v>594000448</v>
      </c>
      <c r="J8">
        <v>34911866880</v>
      </c>
      <c r="K8" t="s">
        <v>40</v>
      </c>
      <c r="L8" t="s">
        <v>41</v>
      </c>
      <c r="M8" t="s">
        <v>18</v>
      </c>
      <c r="N8">
        <v>34909534586.879997</v>
      </c>
      <c r="O8" t="str">
        <f t="shared" si="1"/>
        <v>Energy</v>
      </c>
    </row>
    <row r="9" spans="1:15" x14ac:dyDescent="0.25">
      <c r="A9" t="str">
        <f t="shared" si="0"/>
        <v>HWM</v>
      </c>
      <c r="B9" t="s">
        <v>42</v>
      </c>
      <c r="C9" t="s">
        <v>43</v>
      </c>
      <c r="D9">
        <v>6.9500357937851365E-2</v>
      </c>
      <c r="E9">
        <v>404463744</v>
      </c>
      <c r="F9">
        <v>186.13</v>
      </c>
      <c r="G9">
        <v>404463744</v>
      </c>
      <c r="H9">
        <v>403674048</v>
      </c>
      <c r="I9">
        <v>399742976</v>
      </c>
      <c r="J9">
        <v>75135852544</v>
      </c>
      <c r="K9" t="s">
        <v>44</v>
      </c>
      <c r="L9" t="s">
        <v>45</v>
      </c>
      <c r="M9" t="s">
        <v>18</v>
      </c>
      <c r="N9">
        <v>75282836670.720001</v>
      </c>
      <c r="O9" t="str">
        <f t="shared" si="1"/>
        <v>Industrials</v>
      </c>
    </row>
    <row r="10" spans="1:15" x14ac:dyDescent="0.25">
      <c r="A10" t="str">
        <f t="shared" si="0"/>
        <v>PNC</v>
      </c>
      <c r="B10" t="s">
        <v>46</v>
      </c>
      <c r="C10" t="s">
        <v>47</v>
      </c>
      <c r="D10">
        <v>6.8116033855434369E-2</v>
      </c>
      <c r="E10">
        <v>395790880</v>
      </c>
      <c r="F10">
        <v>186.42</v>
      </c>
      <c r="G10">
        <v>395790880</v>
      </c>
      <c r="H10">
        <v>395567008</v>
      </c>
      <c r="I10">
        <v>392764352</v>
      </c>
      <c r="J10">
        <v>73741598720</v>
      </c>
      <c r="K10" t="s">
        <v>48</v>
      </c>
      <c r="L10" t="s">
        <v>49</v>
      </c>
      <c r="M10" t="s">
        <v>18</v>
      </c>
      <c r="N10">
        <v>73783335849.599991</v>
      </c>
      <c r="O10" t="str">
        <f t="shared" si="1"/>
        <v>Financials</v>
      </c>
    </row>
    <row r="11" spans="1:15" x14ac:dyDescent="0.25">
      <c r="A11" t="str">
        <f t="shared" si="0"/>
        <v>FNB</v>
      </c>
      <c r="B11" t="s">
        <v>50</v>
      </c>
      <c r="C11" t="s">
        <v>51</v>
      </c>
      <c r="D11">
        <v>4.8370895282547777E-3</v>
      </c>
      <c r="E11">
        <v>359364800</v>
      </c>
      <c r="F11">
        <v>14.58</v>
      </c>
      <c r="G11">
        <v>359364800</v>
      </c>
      <c r="H11">
        <v>359806368</v>
      </c>
      <c r="I11">
        <v>354466816</v>
      </c>
      <c r="J11">
        <v>5245977088</v>
      </c>
      <c r="K11" t="s">
        <v>48</v>
      </c>
      <c r="L11" t="s">
        <v>49</v>
      </c>
      <c r="M11" t="s">
        <v>18</v>
      </c>
      <c r="N11">
        <v>5239538784</v>
      </c>
      <c r="O11" t="str">
        <f t="shared" si="1"/>
        <v>Financials</v>
      </c>
    </row>
    <row r="12" spans="1:15" x14ac:dyDescent="0.25">
      <c r="A12" t="str">
        <f t="shared" si="0"/>
        <v>FOLD</v>
      </c>
      <c r="B12" t="s">
        <v>52</v>
      </c>
      <c r="C12" t="s">
        <v>53</v>
      </c>
      <c r="D12">
        <v>1.6288756049341723E-3</v>
      </c>
      <c r="E12">
        <v>307923072</v>
      </c>
      <c r="F12">
        <v>5.73</v>
      </c>
      <c r="G12">
        <v>307923072</v>
      </c>
      <c r="H12">
        <v>307930976</v>
      </c>
      <c r="I12">
        <v>303692832</v>
      </c>
      <c r="J12">
        <v>1764444544</v>
      </c>
      <c r="K12" t="s">
        <v>29</v>
      </c>
      <c r="L12" t="s">
        <v>54</v>
      </c>
      <c r="M12" t="s">
        <v>18</v>
      </c>
      <c r="N12">
        <v>1764399202.5600002</v>
      </c>
      <c r="O12" t="str">
        <f t="shared" si="1"/>
        <v>Health Care</v>
      </c>
    </row>
    <row r="13" spans="1:15" x14ac:dyDescent="0.25">
      <c r="A13" t="str">
        <f t="shared" si="0"/>
        <v>BSY</v>
      </c>
      <c r="B13" t="s">
        <v>55</v>
      </c>
      <c r="C13" t="s">
        <v>56</v>
      </c>
      <c r="D13">
        <v>1.5092347529518945E-2</v>
      </c>
      <c r="E13">
        <v>302909792</v>
      </c>
      <c r="F13">
        <v>53.97</v>
      </c>
      <c r="G13">
        <v>302909792</v>
      </c>
      <c r="H13">
        <v>291843808</v>
      </c>
      <c r="I13">
        <v>147186960</v>
      </c>
      <c r="J13">
        <v>17996705792</v>
      </c>
      <c r="K13" t="s">
        <v>21</v>
      </c>
      <c r="L13" t="s">
        <v>22</v>
      </c>
      <c r="M13" t="s">
        <v>18</v>
      </c>
      <c r="N13">
        <v>16348041474.24</v>
      </c>
      <c r="O13" t="str">
        <f t="shared" si="1"/>
        <v>Information Technology</v>
      </c>
    </row>
    <row r="14" spans="1:15" x14ac:dyDescent="0.25">
      <c r="A14" t="str">
        <f t="shared" si="0"/>
        <v>WTRG</v>
      </c>
      <c r="B14" t="s">
        <v>57</v>
      </c>
      <c r="C14" t="s">
        <v>58</v>
      </c>
      <c r="D14">
        <v>9.4861203722949698E-3</v>
      </c>
      <c r="E14">
        <v>276665920</v>
      </c>
      <c r="F14">
        <v>37.14</v>
      </c>
      <c r="G14">
        <v>276665920</v>
      </c>
      <c r="H14">
        <v>280337600</v>
      </c>
      <c r="I14">
        <v>279659872</v>
      </c>
      <c r="J14">
        <v>10411738112</v>
      </c>
      <c r="K14" t="s">
        <v>33</v>
      </c>
      <c r="L14" t="s">
        <v>59</v>
      </c>
      <c r="M14" t="s">
        <v>18</v>
      </c>
      <c r="N14">
        <v>10275372268.799999</v>
      </c>
      <c r="O14" t="str">
        <f t="shared" si="1"/>
        <v>Utilities</v>
      </c>
    </row>
    <row r="15" spans="1:15" x14ac:dyDescent="0.25">
      <c r="A15" t="str">
        <f t="shared" si="0"/>
        <v>GLPI</v>
      </c>
      <c r="B15" t="s">
        <v>60</v>
      </c>
      <c r="C15" t="s">
        <v>61</v>
      </c>
      <c r="D15">
        <v>1.1843792212341601E-2</v>
      </c>
      <c r="E15">
        <v>274832992</v>
      </c>
      <c r="F15">
        <v>46.68</v>
      </c>
      <c r="G15">
        <v>274832992</v>
      </c>
      <c r="H15">
        <v>274832992</v>
      </c>
      <c r="I15">
        <v>263119104</v>
      </c>
      <c r="J15">
        <v>12829204480</v>
      </c>
      <c r="K15" t="s">
        <v>62</v>
      </c>
      <c r="L15" t="s">
        <v>63</v>
      </c>
      <c r="M15" t="s">
        <v>18</v>
      </c>
      <c r="N15">
        <v>12829204066.559999</v>
      </c>
      <c r="O15" t="str">
        <f t="shared" si="1"/>
        <v>Real Estate</v>
      </c>
    </row>
    <row r="16" spans="1:15" x14ac:dyDescent="0.25">
      <c r="A16" t="str">
        <f t="shared" si="0"/>
        <v>ARMK</v>
      </c>
      <c r="B16" t="s">
        <v>64</v>
      </c>
      <c r="C16" t="s">
        <v>65</v>
      </c>
      <c r="D16">
        <v>1.0157487172963475E-2</v>
      </c>
      <c r="E16">
        <v>262779968</v>
      </c>
      <c r="F16">
        <v>41.87</v>
      </c>
      <c r="G16">
        <v>262779968</v>
      </c>
      <c r="H16">
        <v>262070768</v>
      </c>
      <c r="I16">
        <v>259862800</v>
      </c>
      <c r="J16">
        <v>10972902400</v>
      </c>
      <c r="K16" t="s">
        <v>66</v>
      </c>
      <c r="L16" t="s">
        <v>67</v>
      </c>
      <c r="M16" t="s">
        <v>18</v>
      </c>
      <c r="N16">
        <v>11002597260.16</v>
      </c>
      <c r="O16" t="str">
        <f t="shared" si="1"/>
        <v>Consumer Discretionary</v>
      </c>
    </row>
    <row r="17" spans="1:15" x14ac:dyDescent="0.25">
      <c r="A17" t="str">
        <f t="shared" si="0"/>
        <v>AA</v>
      </c>
      <c r="B17" t="s">
        <v>68</v>
      </c>
      <c r="C17" t="s">
        <v>69</v>
      </c>
      <c r="D17">
        <v>7.0533631530074218E-3</v>
      </c>
      <c r="E17">
        <v>258902336</v>
      </c>
      <c r="F17">
        <v>29.51</v>
      </c>
      <c r="G17">
        <v>258902336</v>
      </c>
      <c r="H17">
        <v>258902336</v>
      </c>
      <c r="I17">
        <v>257796816</v>
      </c>
      <c r="J17">
        <v>7640207872</v>
      </c>
      <c r="K17" t="s">
        <v>70</v>
      </c>
      <c r="L17" t="s">
        <v>71</v>
      </c>
      <c r="M17" t="s">
        <v>18</v>
      </c>
      <c r="N17">
        <v>7640207935.3600006</v>
      </c>
      <c r="O17" t="str">
        <f t="shared" si="1"/>
        <v>Materials</v>
      </c>
    </row>
    <row r="18" spans="1:15" x14ac:dyDescent="0.25">
      <c r="A18" t="str">
        <f t="shared" si="0"/>
        <v>IRT</v>
      </c>
      <c r="B18" t="s">
        <v>72</v>
      </c>
      <c r="C18" t="s">
        <v>73</v>
      </c>
      <c r="D18">
        <v>3.8176403582095447E-3</v>
      </c>
      <c r="E18">
        <v>233763184</v>
      </c>
      <c r="F18">
        <v>17.690000000000001</v>
      </c>
      <c r="G18">
        <v>233763184</v>
      </c>
      <c r="H18">
        <v>233784944</v>
      </c>
      <c r="I18">
        <v>231622752</v>
      </c>
      <c r="J18">
        <v>4135655680</v>
      </c>
      <c r="K18" t="s">
        <v>62</v>
      </c>
      <c r="L18" t="s">
        <v>74</v>
      </c>
      <c r="M18" t="s">
        <v>18</v>
      </c>
      <c r="N18">
        <v>4135270724.9600005</v>
      </c>
      <c r="O18" t="str">
        <f t="shared" si="1"/>
        <v>Real Estate</v>
      </c>
    </row>
    <row r="19" spans="1:15" x14ac:dyDescent="0.25">
      <c r="A19" t="str">
        <f t="shared" si="0"/>
        <v>AME</v>
      </c>
      <c r="B19" t="s">
        <v>75</v>
      </c>
      <c r="C19" t="s">
        <v>76</v>
      </c>
      <c r="D19">
        <v>3.8570746242366422E-2</v>
      </c>
      <c r="E19">
        <v>230878975.99999997</v>
      </c>
      <c r="F19">
        <v>180.96</v>
      </c>
      <c r="G19">
        <v>230878976</v>
      </c>
      <c r="H19">
        <v>230878976</v>
      </c>
      <c r="I19">
        <v>229808016</v>
      </c>
      <c r="J19">
        <v>41779859456</v>
      </c>
      <c r="K19" t="s">
        <v>44</v>
      </c>
      <c r="L19" t="s">
        <v>77</v>
      </c>
      <c r="M19" t="s">
        <v>18</v>
      </c>
      <c r="N19">
        <v>41779859496.959999</v>
      </c>
      <c r="O19" t="str">
        <f t="shared" si="1"/>
        <v>Industrials</v>
      </c>
    </row>
    <row r="20" spans="1:15" x14ac:dyDescent="0.25">
      <c r="A20" t="str">
        <f t="shared" si="0"/>
        <v>CUBE</v>
      </c>
      <c r="B20" t="s">
        <v>78</v>
      </c>
      <c r="C20" t="s">
        <v>79</v>
      </c>
      <c r="D20">
        <v>8.9425805218898893E-3</v>
      </c>
      <c r="E20">
        <v>227920224</v>
      </c>
      <c r="F20">
        <v>42.5</v>
      </c>
      <c r="G20">
        <v>227920224</v>
      </c>
      <c r="H20">
        <v>227954016</v>
      </c>
      <c r="I20">
        <v>226147072</v>
      </c>
      <c r="J20">
        <v>9688045568</v>
      </c>
      <c r="K20" t="s">
        <v>62</v>
      </c>
      <c r="L20" t="s">
        <v>63</v>
      </c>
      <c r="M20" t="s">
        <v>18</v>
      </c>
      <c r="N20">
        <v>9686609520</v>
      </c>
      <c r="O20" t="str">
        <f t="shared" si="1"/>
        <v>Real Estate</v>
      </c>
    </row>
    <row r="21" spans="1:15" x14ac:dyDescent="0.25">
      <c r="A21" t="str">
        <f t="shared" si="0"/>
        <v>PPG</v>
      </c>
      <c r="B21" t="s">
        <v>80</v>
      </c>
      <c r="C21" t="s">
        <v>81</v>
      </c>
      <c r="D21">
        <v>2.3837918399011639E-2</v>
      </c>
      <c r="E21">
        <v>227000000</v>
      </c>
      <c r="F21">
        <v>113.75</v>
      </c>
      <c r="G21">
        <v>227000000</v>
      </c>
      <c r="H21">
        <v>227000000</v>
      </c>
      <c r="I21">
        <v>226308736</v>
      </c>
      <c r="J21">
        <v>25821249536</v>
      </c>
      <c r="K21" t="s">
        <v>70</v>
      </c>
      <c r="L21" t="s">
        <v>82</v>
      </c>
      <c r="M21" t="s">
        <v>18</v>
      </c>
      <c r="N21">
        <v>25821250000</v>
      </c>
      <c r="O21" t="str">
        <f t="shared" si="1"/>
        <v>Materials</v>
      </c>
    </row>
    <row r="22" spans="1:15" x14ac:dyDescent="0.25">
      <c r="A22" t="str">
        <f t="shared" si="0"/>
        <v>APD</v>
      </c>
      <c r="B22" t="s">
        <v>83</v>
      </c>
      <c r="C22" t="s">
        <v>84</v>
      </c>
      <c r="D22">
        <v>5.7949389302014841E-2</v>
      </c>
      <c r="E22">
        <v>222544208</v>
      </c>
      <c r="F22">
        <v>282.06</v>
      </c>
      <c r="G22">
        <v>222544208</v>
      </c>
      <c r="H22">
        <v>222544208</v>
      </c>
      <c r="I22">
        <v>217527248</v>
      </c>
      <c r="J22">
        <v>62770819072</v>
      </c>
      <c r="K22" t="s">
        <v>70</v>
      </c>
      <c r="L22" t="s">
        <v>82</v>
      </c>
      <c r="M22" t="s">
        <v>18</v>
      </c>
      <c r="N22">
        <v>62770819308.480003</v>
      </c>
      <c r="O22" t="str">
        <f t="shared" si="1"/>
        <v>Materials</v>
      </c>
    </row>
    <row r="23" spans="1:15" x14ac:dyDescent="0.25">
      <c r="A23" t="str">
        <f t="shared" si="0"/>
        <v>AXTA</v>
      </c>
      <c r="B23" t="s">
        <v>85</v>
      </c>
      <c r="C23" t="s">
        <v>86</v>
      </c>
      <c r="D23">
        <v>5.9917187774600729E-3</v>
      </c>
      <c r="E23">
        <v>218600000</v>
      </c>
      <c r="F23">
        <v>29.69</v>
      </c>
      <c r="G23">
        <v>218600000</v>
      </c>
      <c r="H23">
        <v>218559472</v>
      </c>
      <c r="I23">
        <v>217477264</v>
      </c>
      <c r="J23">
        <v>6489030656</v>
      </c>
      <c r="K23" t="s">
        <v>70</v>
      </c>
      <c r="L23" t="s">
        <v>82</v>
      </c>
      <c r="M23" t="s">
        <v>18</v>
      </c>
      <c r="N23">
        <v>6490234000</v>
      </c>
      <c r="O23" t="str">
        <f t="shared" si="1"/>
        <v>Materials</v>
      </c>
    </row>
    <row r="24" spans="1:15" x14ac:dyDescent="0.25">
      <c r="A24" t="str">
        <f t="shared" si="0"/>
        <v>UGI</v>
      </c>
      <c r="B24" t="s">
        <v>87</v>
      </c>
      <c r="C24" t="s">
        <v>88</v>
      </c>
      <c r="D24">
        <v>7.2100702431326727E-3</v>
      </c>
      <c r="E24">
        <v>214441328</v>
      </c>
      <c r="F24">
        <v>36.42</v>
      </c>
      <c r="G24">
        <v>214441328</v>
      </c>
      <c r="H24">
        <v>214441328</v>
      </c>
      <c r="I24">
        <v>212952096</v>
      </c>
      <c r="J24">
        <v>7809953280</v>
      </c>
      <c r="K24" t="s">
        <v>33</v>
      </c>
      <c r="L24" t="s">
        <v>89</v>
      </c>
      <c r="M24" t="s">
        <v>18</v>
      </c>
      <c r="N24">
        <v>7809953165.7600002</v>
      </c>
      <c r="O24" t="str">
        <f t="shared" si="1"/>
        <v>Utilities</v>
      </c>
    </row>
    <row r="25" spans="1:15" x14ac:dyDescent="0.25">
      <c r="A25" t="str">
        <f t="shared" si="0"/>
        <v>HSY</v>
      </c>
      <c r="B25" t="s">
        <v>90</v>
      </c>
      <c r="C25" t="s">
        <v>91</v>
      </c>
      <c r="D25">
        <v>3.1038544696881963E-2</v>
      </c>
      <c r="E25">
        <v>202597008</v>
      </c>
      <c r="F25">
        <v>165.95</v>
      </c>
      <c r="G25">
        <v>202597008</v>
      </c>
      <c r="H25">
        <v>147990272</v>
      </c>
      <c r="I25">
        <v>145249952</v>
      </c>
      <c r="J25">
        <v>33622099968</v>
      </c>
      <c r="K25" t="s">
        <v>25</v>
      </c>
      <c r="L25" t="s">
        <v>26</v>
      </c>
      <c r="M25" t="s">
        <v>18</v>
      </c>
      <c r="N25">
        <v>33620973477.599998</v>
      </c>
      <c r="O25" t="str">
        <f t="shared" si="1"/>
        <v>Consumer Staples</v>
      </c>
    </row>
    <row r="26" spans="1:15" x14ac:dyDescent="0.25">
      <c r="A26" t="str">
        <f t="shared" si="0"/>
        <v>COR</v>
      </c>
      <c r="B26" t="s">
        <v>92</v>
      </c>
      <c r="C26" t="s">
        <v>93</v>
      </c>
      <c r="D26">
        <v>5.3642935238464605E-2</v>
      </c>
      <c r="E26">
        <v>193783776</v>
      </c>
      <c r="F26">
        <v>299.85000000000002</v>
      </c>
      <c r="G26">
        <v>193783776</v>
      </c>
      <c r="H26">
        <v>193823488</v>
      </c>
      <c r="I26">
        <v>183493952</v>
      </c>
      <c r="J26">
        <v>58117971968</v>
      </c>
      <c r="K26" t="s">
        <v>29</v>
      </c>
      <c r="L26" t="s">
        <v>94</v>
      </c>
      <c r="M26" t="s">
        <v>18</v>
      </c>
      <c r="N26">
        <v>58106065233.600006</v>
      </c>
      <c r="O26" t="str">
        <f t="shared" si="1"/>
        <v>Health Care</v>
      </c>
    </row>
    <row r="27" spans="1:15" x14ac:dyDescent="0.25">
      <c r="A27" t="str">
        <f t="shared" si="0"/>
        <v>FULT</v>
      </c>
      <c r="B27" t="s">
        <v>95</v>
      </c>
      <c r="C27" t="s">
        <v>96</v>
      </c>
      <c r="D27">
        <v>3.0344939027513221E-3</v>
      </c>
      <c r="E27">
        <v>182204320</v>
      </c>
      <c r="F27">
        <v>18.04</v>
      </c>
      <c r="G27">
        <v>182204320</v>
      </c>
      <c r="H27">
        <v>181794512</v>
      </c>
      <c r="I27">
        <v>179480688</v>
      </c>
      <c r="J27">
        <v>3279572992</v>
      </c>
      <c r="K27" t="s">
        <v>48</v>
      </c>
      <c r="L27" t="s">
        <v>49</v>
      </c>
      <c r="M27" t="s">
        <v>18</v>
      </c>
      <c r="N27">
        <v>3286965932.7999997</v>
      </c>
      <c r="O27" t="str">
        <f t="shared" si="1"/>
        <v>Financials</v>
      </c>
    </row>
    <row r="28" spans="1:15" x14ac:dyDescent="0.25">
      <c r="A28" t="str">
        <f t="shared" si="0"/>
        <v>AEO</v>
      </c>
      <c r="B28" t="s">
        <v>97</v>
      </c>
      <c r="C28" t="s">
        <v>98</v>
      </c>
      <c r="D28">
        <v>1.5387994212607797E-3</v>
      </c>
      <c r="E28">
        <v>173267008</v>
      </c>
      <c r="F28">
        <v>9.6199999999999992</v>
      </c>
      <c r="G28">
        <v>173267008</v>
      </c>
      <c r="H28">
        <v>173268240</v>
      </c>
      <c r="I28">
        <v>157578896</v>
      </c>
      <c r="J28">
        <v>1666840448</v>
      </c>
      <c r="K28" t="s">
        <v>66</v>
      </c>
      <c r="L28" t="s">
        <v>99</v>
      </c>
      <c r="M28" t="s">
        <v>18</v>
      </c>
      <c r="N28">
        <v>1666828616.9599998</v>
      </c>
      <c r="O28" t="str">
        <f t="shared" si="1"/>
        <v>Consumer Discretionary</v>
      </c>
    </row>
    <row r="29" spans="1:15" x14ac:dyDescent="0.25">
      <c r="A29" t="str">
        <f t="shared" si="0"/>
        <v>BDN</v>
      </c>
      <c r="B29" t="s">
        <v>100</v>
      </c>
      <c r="C29" t="s">
        <v>101</v>
      </c>
      <c r="D29">
        <v>6.8536570870016719E-4</v>
      </c>
      <c r="E29">
        <v>173050960</v>
      </c>
      <c r="F29">
        <v>4.29</v>
      </c>
      <c r="G29">
        <v>173050960</v>
      </c>
      <c r="H29">
        <v>172950496</v>
      </c>
      <c r="I29">
        <v>166701184</v>
      </c>
      <c r="J29">
        <v>741957632</v>
      </c>
      <c r="K29" t="s">
        <v>62</v>
      </c>
      <c r="L29" t="s">
        <v>102</v>
      </c>
      <c r="M29" t="s">
        <v>18</v>
      </c>
      <c r="N29">
        <v>742388618.39999998</v>
      </c>
      <c r="O29" t="str">
        <f t="shared" si="1"/>
        <v>Real Estate</v>
      </c>
    </row>
    <row r="30" spans="1:15" x14ac:dyDescent="0.25">
      <c r="A30" t="str">
        <f t="shared" si="0"/>
        <v>WAB</v>
      </c>
      <c r="B30" t="s">
        <v>103</v>
      </c>
      <c r="C30" t="s">
        <v>104</v>
      </c>
      <c r="D30">
        <v>3.3068465388009533E-2</v>
      </c>
      <c r="E30">
        <v>171100000</v>
      </c>
      <c r="F30">
        <v>209.35</v>
      </c>
      <c r="G30">
        <v>171100000</v>
      </c>
      <c r="H30">
        <v>171126336</v>
      </c>
      <c r="I30">
        <v>169251328</v>
      </c>
      <c r="J30">
        <v>35825295360</v>
      </c>
      <c r="K30" t="s">
        <v>44</v>
      </c>
      <c r="L30" t="s">
        <v>105</v>
      </c>
      <c r="M30" t="s">
        <v>18</v>
      </c>
      <c r="N30">
        <v>35819785000</v>
      </c>
      <c r="O30" t="str">
        <f t="shared" si="1"/>
        <v>Industrials</v>
      </c>
    </row>
    <row r="31" spans="1:15" x14ac:dyDescent="0.25">
      <c r="A31" t="str">
        <f t="shared" si="0"/>
        <v>LNC</v>
      </c>
      <c r="B31" t="s">
        <v>106</v>
      </c>
      <c r="C31" t="s">
        <v>107</v>
      </c>
      <c r="D31">
        <v>5.4524085786621318E-3</v>
      </c>
      <c r="E31">
        <v>170695168</v>
      </c>
      <c r="F31">
        <v>34.6</v>
      </c>
      <c r="G31">
        <v>170695168</v>
      </c>
      <c r="H31">
        <v>170733904</v>
      </c>
      <c r="I31">
        <v>168780384</v>
      </c>
      <c r="J31">
        <v>5907393024</v>
      </c>
      <c r="K31" t="s">
        <v>48</v>
      </c>
      <c r="L31" t="s">
        <v>108</v>
      </c>
      <c r="M31" t="s">
        <v>18</v>
      </c>
      <c r="N31">
        <v>5906052812.8000002</v>
      </c>
      <c r="O31" t="str">
        <f t="shared" si="1"/>
        <v>Financials</v>
      </c>
    </row>
    <row r="32" spans="1:15" x14ac:dyDescent="0.25">
      <c r="A32" t="str">
        <f t="shared" si="0"/>
        <v>VERX</v>
      </c>
      <c r="B32" t="s">
        <v>109</v>
      </c>
      <c r="C32" t="s">
        <v>110</v>
      </c>
      <c r="D32">
        <v>5.1667617621875836E-3</v>
      </c>
      <c r="E32">
        <v>158388000</v>
      </c>
      <c r="F32">
        <v>35.335000000000001</v>
      </c>
      <c r="G32">
        <v>158388000</v>
      </c>
      <c r="H32">
        <v>72005248</v>
      </c>
      <c r="I32">
        <v>65258688</v>
      </c>
      <c r="J32">
        <v>5600098816</v>
      </c>
      <c r="K32" t="s">
        <v>21</v>
      </c>
      <c r="L32" t="s">
        <v>22</v>
      </c>
      <c r="M32" t="s">
        <v>18</v>
      </c>
      <c r="N32">
        <v>5596639980</v>
      </c>
      <c r="O32" t="str">
        <f t="shared" si="1"/>
        <v>Information Technology</v>
      </c>
    </row>
    <row r="33" spans="1:15" x14ac:dyDescent="0.25">
      <c r="A33" t="str">
        <f t="shared" si="0"/>
        <v>COHR</v>
      </c>
      <c r="B33" t="s">
        <v>111</v>
      </c>
      <c r="C33" t="s">
        <v>112</v>
      </c>
      <c r="D33">
        <v>1.2794069526331683E-2</v>
      </c>
      <c r="E33">
        <v>155347440</v>
      </c>
      <c r="F33">
        <v>89.21</v>
      </c>
      <c r="G33">
        <v>155347440</v>
      </c>
      <c r="H33">
        <v>155440608</v>
      </c>
      <c r="I33">
        <v>152733488</v>
      </c>
      <c r="J33">
        <v>13866856448</v>
      </c>
      <c r="K33" t="s">
        <v>21</v>
      </c>
      <c r="L33" t="s">
        <v>113</v>
      </c>
      <c r="M33" t="s">
        <v>18</v>
      </c>
      <c r="N33">
        <v>13858545122.4</v>
      </c>
      <c r="O33" t="str">
        <f t="shared" si="1"/>
        <v>Information Technology</v>
      </c>
    </row>
    <row r="34" spans="1:15" x14ac:dyDescent="0.25">
      <c r="A34" t="str">
        <f t="shared" si="0"/>
        <v>PENN</v>
      </c>
      <c r="B34" t="s">
        <v>114</v>
      </c>
      <c r="C34" t="s">
        <v>115</v>
      </c>
      <c r="D34">
        <v>2.4949966913718835E-3</v>
      </c>
      <c r="E34">
        <v>151235712</v>
      </c>
      <c r="F34">
        <v>17.87</v>
      </c>
      <c r="G34">
        <v>151235712</v>
      </c>
      <c r="H34">
        <v>151001984</v>
      </c>
      <c r="I34">
        <v>148946304</v>
      </c>
      <c r="J34">
        <v>2698405376</v>
      </c>
      <c r="K34" t="s">
        <v>66</v>
      </c>
      <c r="L34" t="s">
        <v>67</v>
      </c>
      <c r="M34" t="s">
        <v>18</v>
      </c>
      <c r="N34">
        <v>2702582173.4400001</v>
      </c>
      <c r="O34" t="str">
        <f t="shared" si="1"/>
        <v>Consumer Discretionary</v>
      </c>
    </row>
    <row r="35" spans="1:15" x14ac:dyDescent="0.25">
      <c r="A35" t="str">
        <f t="shared" si="0"/>
        <v>CNX</v>
      </c>
      <c r="B35" t="s">
        <v>116</v>
      </c>
      <c r="C35" t="s">
        <v>117</v>
      </c>
      <c r="D35">
        <v>4.5228220729313469E-3</v>
      </c>
      <c r="E35">
        <v>145460928</v>
      </c>
      <c r="F35">
        <v>33.68</v>
      </c>
      <c r="G35">
        <v>145460928</v>
      </c>
      <c r="H35">
        <v>144722736</v>
      </c>
      <c r="I35">
        <v>136045328</v>
      </c>
      <c r="J35">
        <v>4874261504</v>
      </c>
      <c r="K35" t="s">
        <v>40</v>
      </c>
      <c r="L35" t="s">
        <v>41</v>
      </c>
      <c r="M35" t="s">
        <v>18</v>
      </c>
      <c r="N35">
        <v>4899124055.04</v>
      </c>
      <c r="O35" t="str">
        <f t="shared" si="1"/>
        <v>Energy</v>
      </c>
    </row>
    <row r="36" spans="1:15" x14ac:dyDescent="0.25">
      <c r="A36" t="str">
        <f t="shared" si="0"/>
        <v>MNTK</v>
      </c>
      <c r="B36" t="s">
        <v>118</v>
      </c>
      <c r="C36" t="s">
        <v>119</v>
      </c>
      <c r="D36">
        <v>2.9248520331298617E-4</v>
      </c>
      <c r="E36">
        <v>142711792</v>
      </c>
      <c r="F36">
        <v>2.2200000000000002</v>
      </c>
      <c r="G36">
        <v>142711792</v>
      </c>
      <c r="H36">
        <v>142434496</v>
      </c>
      <c r="I36">
        <v>62287992</v>
      </c>
      <c r="J36">
        <v>316204608</v>
      </c>
      <c r="K36" t="s">
        <v>33</v>
      </c>
      <c r="L36" t="s">
        <v>120</v>
      </c>
      <c r="M36" t="s">
        <v>18</v>
      </c>
      <c r="N36">
        <v>316820178.24000001</v>
      </c>
      <c r="O36" t="str">
        <f t="shared" si="1"/>
        <v>Utilities</v>
      </c>
    </row>
    <row r="37" spans="1:15" x14ac:dyDescent="0.25">
      <c r="A37" t="str">
        <f t="shared" si="0"/>
        <v>UTZ</v>
      </c>
      <c r="B37" t="s">
        <v>121</v>
      </c>
      <c r="C37" t="s">
        <v>122</v>
      </c>
      <c r="D37">
        <v>1.6383897559115786E-3</v>
      </c>
      <c r="E37">
        <v>141410752</v>
      </c>
      <c r="F37">
        <v>12.55</v>
      </c>
      <c r="G37">
        <v>141410752</v>
      </c>
      <c r="H37">
        <v>86061752</v>
      </c>
      <c r="I37">
        <v>68198472</v>
      </c>
      <c r="J37">
        <v>1774704896</v>
      </c>
      <c r="K37" t="s">
        <v>25</v>
      </c>
      <c r="L37" t="s">
        <v>26</v>
      </c>
      <c r="M37" t="s">
        <v>18</v>
      </c>
      <c r="N37">
        <v>1774704937.6000001</v>
      </c>
      <c r="O37" t="str">
        <f t="shared" si="1"/>
        <v>Consumer Staples</v>
      </c>
    </row>
    <row r="38" spans="1:15" x14ac:dyDescent="0.25">
      <c r="A38" t="str">
        <f t="shared" si="0"/>
        <v>RDN</v>
      </c>
      <c r="B38" t="s">
        <v>123</v>
      </c>
      <c r="C38" t="s">
        <v>124</v>
      </c>
      <c r="D38">
        <v>4.6960312891060436E-3</v>
      </c>
      <c r="E38">
        <v>141220000</v>
      </c>
      <c r="F38">
        <v>36.020000000000003</v>
      </c>
      <c r="G38">
        <v>141220000</v>
      </c>
      <c r="H38">
        <v>134334128</v>
      </c>
      <c r="I38">
        <v>132426848</v>
      </c>
      <c r="J38">
        <v>4838715392</v>
      </c>
      <c r="K38" t="s">
        <v>48</v>
      </c>
      <c r="L38" t="s">
        <v>125</v>
      </c>
      <c r="M38" t="s">
        <v>18</v>
      </c>
      <c r="N38">
        <v>5086744400</v>
      </c>
      <c r="O38" t="str">
        <f t="shared" si="1"/>
        <v>Financials</v>
      </c>
    </row>
    <row r="39" spans="1:15" x14ac:dyDescent="0.25">
      <c r="A39" t="str">
        <f t="shared" si="0"/>
        <v>VSH</v>
      </c>
      <c r="B39" t="s">
        <v>126</v>
      </c>
      <c r="C39" t="s">
        <v>127</v>
      </c>
      <c r="D39">
        <v>1.9872596726344047E-3</v>
      </c>
      <c r="E39">
        <v>135554224</v>
      </c>
      <c r="F39">
        <v>15.88</v>
      </c>
      <c r="G39">
        <v>135554224</v>
      </c>
      <c r="H39">
        <v>123457080</v>
      </c>
      <c r="I39">
        <v>121647344</v>
      </c>
      <c r="J39">
        <v>2152601088</v>
      </c>
      <c r="K39" t="s">
        <v>21</v>
      </c>
      <c r="L39" t="s">
        <v>113</v>
      </c>
      <c r="M39" t="s">
        <v>18</v>
      </c>
      <c r="N39">
        <v>2152601077.1199999</v>
      </c>
      <c r="O39" t="str">
        <f t="shared" si="1"/>
        <v>Information Technology</v>
      </c>
    </row>
    <row r="40" spans="1:15" x14ac:dyDescent="0.25">
      <c r="A40" t="str">
        <f t="shared" si="0"/>
        <v>GMED</v>
      </c>
      <c r="B40" t="s">
        <v>128</v>
      </c>
      <c r="C40" t="s">
        <v>129</v>
      </c>
      <c r="D40">
        <v>7.3751221993235711E-3</v>
      </c>
      <c r="E40">
        <v>135356448</v>
      </c>
      <c r="F40">
        <v>59.02</v>
      </c>
      <c r="G40">
        <v>135356448</v>
      </c>
      <c r="H40">
        <v>112926344</v>
      </c>
      <c r="I40">
        <v>112113856</v>
      </c>
      <c r="J40">
        <v>7988737024</v>
      </c>
      <c r="K40" t="s">
        <v>29</v>
      </c>
      <c r="L40" t="s">
        <v>130</v>
      </c>
      <c r="M40" t="s">
        <v>18</v>
      </c>
      <c r="N40">
        <v>7988737560.96</v>
      </c>
      <c r="O40" t="str">
        <f t="shared" si="1"/>
        <v>Health Care</v>
      </c>
    </row>
    <row r="41" spans="1:15" x14ac:dyDescent="0.25">
      <c r="A41" t="str">
        <f t="shared" si="0"/>
        <v>AHCO</v>
      </c>
      <c r="B41" t="s">
        <v>131</v>
      </c>
      <c r="C41" t="s">
        <v>132</v>
      </c>
      <c r="D41">
        <v>1.1747528383356408E-3</v>
      </c>
      <c r="E41">
        <v>134940944</v>
      </c>
      <c r="F41">
        <v>9.43</v>
      </c>
      <c r="G41">
        <v>134940944</v>
      </c>
      <c r="H41">
        <v>134947904</v>
      </c>
      <c r="I41">
        <v>104237576</v>
      </c>
      <c r="J41">
        <v>1272558720</v>
      </c>
      <c r="K41" t="s">
        <v>29</v>
      </c>
      <c r="L41" t="s">
        <v>94</v>
      </c>
      <c r="M41" t="s">
        <v>18</v>
      </c>
      <c r="N41">
        <v>1272493101.9200001</v>
      </c>
      <c r="O41" t="str">
        <f t="shared" si="1"/>
        <v>Health Care</v>
      </c>
    </row>
    <row r="42" spans="1:15" x14ac:dyDescent="0.25">
      <c r="A42" t="str">
        <f t="shared" si="0"/>
        <v>SEM</v>
      </c>
      <c r="B42" t="s">
        <v>133</v>
      </c>
      <c r="C42" t="s">
        <v>134</v>
      </c>
      <c r="D42">
        <v>1.8072883675037106E-3</v>
      </c>
      <c r="E42">
        <v>128962848</v>
      </c>
      <c r="F42">
        <v>15.18</v>
      </c>
      <c r="G42">
        <v>128962848</v>
      </c>
      <c r="H42">
        <v>128538888</v>
      </c>
      <c r="I42">
        <v>109081952</v>
      </c>
      <c r="J42">
        <v>1951220352</v>
      </c>
      <c r="K42" t="s">
        <v>29</v>
      </c>
      <c r="L42" t="s">
        <v>94</v>
      </c>
      <c r="M42" t="s">
        <v>18</v>
      </c>
      <c r="N42">
        <v>1957656032.6399999</v>
      </c>
      <c r="O42" t="str">
        <f t="shared" si="1"/>
        <v>Health Care</v>
      </c>
    </row>
    <row r="43" spans="1:15" x14ac:dyDescent="0.25">
      <c r="A43" t="str">
        <f t="shared" si="0"/>
        <v>CON</v>
      </c>
      <c r="B43" t="s">
        <v>135</v>
      </c>
      <c r="C43" t="s">
        <v>136</v>
      </c>
      <c r="D43">
        <v>2.4339875722541324E-3</v>
      </c>
      <c r="E43">
        <v>128171951.99999999</v>
      </c>
      <c r="F43">
        <v>20.57</v>
      </c>
      <c r="G43">
        <v>128171952</v>
      </c>
      <c r="H43">
        <v>128171952</v>
      </c>
      <c r="I43">
        <v>123664872</v>
      </c>
      <c r="J43">
        <v>2636497152</v>
      </c>
      <c r="K43" t="s">
        <v>29</v>
      </c>
      <c r="L43" t="s">
        <v>94</v>
      </c>
      <c r="M43" t="s">
        <v>18</v>
      </c>
      <c r="N43">
        <v>2636497052.6399999</v>
      </c>
      <c r="O43" t="str">
        <f t="shared" si="1"/>
        <v>Health Care</v>
      </c>
    </row>
    <row r="44" spans="1:15" x14ac:dyDescent="0.25">
      <c r="A44" t="str">
        <f t="shared" si="0"/>
        <v>NWBI</v>
      </c>
      <c r="B44" t="s">
        <v>137</v>
      </c>
      <c r="C44" t="s">
        <v>138</v>
      </c>
      <c r="D44">
        <v>1.5070798593161809E-3</v>
      </c>
      <c r="E44">
        <v>127736304</v>
      </c>
      <c r="F44">
        <v>12.78</v>
      </c>
      <c r="G44">
        <v>127736304</v>
      </c>
      <c r="H44">
        <v>127752448</v>
      </c>
      <c r="I44">
        <v>125286552</v>
      </c>
      <c r="J44">
        <v>1632676352</v>
      </c>
      <c r="K44" t="s">
        <v>48</v>
      </c>
      <c r="L44" t="s">
        <v>49</v>
      </c>
      <c r="M44" t="s">
        <v>18</v>
      </c>
      <c r="N44">
        <v>1632469965.1199999</v>
      </c>
      <c r="O44" t="str">
        <f t="shared" si="1"/>
        <v>Financials</v>
      </c>
    </row>
    <row r="45" spans="1:15" x14ac:dyDescent="0.25">
      <c r="A45" t="str">
        <f t="shared" si="0"/>
        <v>FMC</v>
      </c>
      <c r="B45" t="s">
        <v>139</v>
      </c>
      <c r="C45" t="s">
        <v>140</v>
      </c>
      <c r="D45">
        <v>4.8143987361408697E-3</v>
      </c>
      <c r="E45">
        <v>124909224</v>
      </c>
      <c r="F45">
        <v>41.75</v>
      </c>
      <c r="G45">
        <v>124909224</v>
      </c>
      <c r="H45">
        <v>124909224</v>
      </c>
      <c r="I45">
        <v>121339064</v>
      </c>
      <c r="J45">
        <v>5214960128</v>
      </c>
      <c r="K45" t="s">
        <v>70</v>
      </c>
      <c r="L45" t="s">
        <v>82</v>
      </c>
      <c r="M45" t="s">
        <v>18</v>
      </c>
      <c r="N45">
        <v>5214960102</v>
      </c>
      <c r="O45" t="str">
        <f t="shared" si="1"/>
        <v>Materials</v>
      </c>
    </row>
    <row r="46" spans="1:15" x14ac:dyDescent="0.25">
      <c r="A46" t="str">
        <f t="shared" si="0"/>
        <v>SEIC</v>
      </c>
      <c r="B46" t="s">
        <v>141</v>
      </c>
      <c r="C46" t="s">
        <v>142</v>
      </c>
      <c r="D46">
        <v>1.0351789611168297E-2</v>
      </c>
      <c r="E46">
        <v>124783728</v>
      </c>
      <c r="F46">
        <v>89.86</v>
      </c>
      <c r="G46">
        <v>124783728</v>
      </c>
      <c r="H46">
        <v>124486656</v>
      </c>
      <c r="I46">
        <v>114215632</v>
      </c>
      <c r="J46">
        <v>11186371584</v>
      </c>
      <c r="K46" t="s">
        <v>48</v>
      </c>
      <c r="L46" t="s">
        <v>143</v>
      </c>
      <c r="M46" t="s">
        <v>18</v>
      </c>
      <c r="N46">
        <v>11213065798.08</v>
      </c>
      <c r="O46" t="str">
        <f t="shared" si="1"/>
        <v>Financials</v>
      </c>
    </row>
    <row r="47" spans="1:15" x14ac:dyDescent="0.25">
      <c r="A47" t="str">
        <f t="shared" si="0"/>
        <v>ECVT</v>
      </c>
      <c r="B47" t="s">
        <v>144</v>
      </c>
      <c r="C47" t="s">
        <v>145</v>
      </c>
      <c r="D47">
        <v>8.9187789472634056E-4</v>
      </c>
      <c r="E47">
        <v>117385512</v>
      </c>
      <c r="F47">
        <v>8.23</v>
      </c>
      <c r="G47">
        <v>117385512</v>
      </c>
      <c r="H47">
        <v>117400512</v>
      </c>
      <c r="I47">
        <v>103961536</v>
      </c>
      <c r="J47">
        <v>966206208</v>
      </c>
      <c r="K47" t="s">
        <v>70</v>
      </c>
      <c r="L47" t="s">
        <v>82</v>
      </c>
      <c r="M47" t="s">
        <v>18</v>
      </c>
      <c r="N47">
        <v>966082763.75999999</v>
      </c>
      <c r="O47" t="str">
        <f t="shared" si="1"/>
        <v>Materials</v>
      </c>
    </row>
    <row r="48" spans="1:15" x14ac:dyDescent="0.25">
      <c r="A48" t="str">
        <f t="shared" si="0"/>
        <v>ACRS</v>
      </c>
      <c r="B48" t="s">
        <v>146</v>
      </c>
      <c r="C48" t="s">
        <v>147</v>
      </c>
      <c r="D48">
        <v>1.4192849870101843E-4</v>
      </c>
      <c r="E48">
        <v>108265528</v>
      </c>
      <c r="F48">
        <v>1.42</v>
      </c>
      <c r="G48">
        <v>108265528</v>
      </c>
      <c r="H48">
        <v>108281240</v>
      </c>
      <c r="I48">
        <v>104497744</v>
      </c>
      <c r="J48">
        <v>153759360</v>
      </c>
      <c r="K48" t="s">
        <v>29</v>
      </c>
      <c r="L48" t="s">
        <v>30</v>
      </c>
      <c r="M48" t="s">
        <v>18</v>
      </c>
      <c r="N48">
        <v>153737049.75999999</v>
      </c>
      <c r="O48" t="str">
        <f t="shared" si="1"/>
        <v>Health Care</v>
      </c>
    </row>
    <row r="49" spans="1:15" x14ac:dyDescent="0.25">
      <c r="A49" t="str">
        <f t="shared" si="0"/>
        <v>FCF</v>
      </c>
      <c r="B49" t="s">
        <v>148</v>
      </c>
      <c r="C49" t="s">
        <v>149</v>
      </c>
      <c r="D49">
        <v>1.5272134785729436E-3</v>
      </c>
      <c r="E49">
        <v>101927216</v>
      </c>
      <c r="F49">
        <v>16.23</v>
      </c>
      <c r="G49">
        <v>101927216</v>
      </c>
      <c r="H49">
        <v>104939032</v>
      </c>
      <c r="I49">
        <v>101690744</v>
      </c>
      <c r="J49">
        <v>1703160448</v>
      </c>
      <c r="K49" t="s">
        <v>48</v>
      </c>
      <c r="L49" t="s">
        <v>49</v>
      </c>
      <c r="M49" t="s">
        <v>18</v>
      </c>
      <c r="N49">
        <v>1654278715.6800001</v>
      </c>
      <c r="O49" t="str">
        <f t="shared" si="1"/>
        <v>Financials</v>
      </c>
    </row>
    <row r="50" spans="1:15" x14ac:dyDescent="0.25">
      <c r="A50" t="str">
        <f t="shared" si="0"/>
        <v>TOL</v>
      </c>
      <c r="B50" t="s">
        <v>150</v>
      </c>
      <c r="C50" t="s">
        <v>151</v>
      </c>
      <c r="D50">
        <v>1.0359882711444923E-2</v>
      </c>
      <c r="E50">
        <v>98325000</v>
      </c>
      <c r="F50">
        <v>114.13</v>
      </c>
      <c r="G50">
        <v>98325000</v>
      </c>
      <c r="H50">
        <v>98181000</v>
      </c>
      <c r="I50">
        <v>97476472</v>
      </c>
      <c r="J50">
        <v>11205397504</v>
      </c>
      <c r="K50" t="s">
        <v>66</v>
      </c>
      <c r="L50" t="s">
        <v>152</v>
      </c>
      <c r="M50" t="s">
        <v>18</v>
      </c>
      <c r="N50">
        <v>11221832250</v>
      </c>
      <c r="O50" t="str">
        <f t="shared" si="1"/>
        <v>Consumer Discretionary</v>
      </c>
    </row>
    <row r="51" spans="1:15" x14ac:dyDescent="0.25">
      <c r="A51" t="str">
        <f t="shared" si="0"/>
        <v>BV</v>
      </c>
      <c r="B51" t="s">
        <v>153</v>
      </c>
      <c r="C51" t="s">
        <v>154</v>
      </c>
      <c r="D51">
        <v>1.4679412537467562E-3</v>
      </c>
      <c r="E51">
        <v>95500000</v>
      </c>
      <c r="F51">
        <v>16.649999999999999</v>
      </c>
      <c r="G51">
        <v>95500000</v>
      </c>
      <c r="H51">
        <v>95300000</v>
      </c>
      <c r="I51">
        <v>70647024</v>
      </c>
      <c r="J51">
        <v>1586744960</v>
      </c>
      <c r="K51" t="s">
        <v>44</v>
      </c>
      <c r="L51" t="s">
        <v>155</v>
      </c>
      <c r="M51" t="s">
        <v>18</v>
      </c>
      <c r="N51">
        <v>1590074999.9999998</v>
      </c>
      <c r="O51" t="str">
        <f t="shared" si="1"/>
        <v>Industrials</v>
      </c>
    </row>
    <row r="52" spans="1:15" x14ac:dyDescent="0.25">
      <c r="A52" t="str">
        <f t="shared" si="0"/>
        <v>URBN</v>
      </c>
      <c r="B52" t="s">
        <v>156</v>
      </c>
      <c r="C52" t="s">
        <v>157</v>
      </c>
      <c r="D52">
        <v>6.001337446833328E-3</v>
      </c>
      <c r="E52">
        <v>89614736</v>
      </c>
      <c r="F52">
        <v>72.540000000000006</v>
      </c>
      <c r="G52">
        <v>89614736</v>
      </c>
      <c r="H52">
        <v>89642152</v>
      </c>
      <c r="I52">
        <v>64189360</v>
      </c>
      <c r="J52">
        <v>6502641664</v>
      </c>
      <c r="K52" t="s">
        <v>66</v>
      </c>
      <c r="L52" t="s">
        <v>99</v>
      </c>
      <c r="M52" t="s">
        <v>18</v>
      </c>
      <c r="N52">
        <v>6500652949.4400005</v>
      </c>
      <c r="O52" t="str">
        <f t="shared" si="1"/>
        <v>Consumer Discretionary</v>
      </c>
    </row>
    <row r="53" spans="1:15" x14ac:dyDescent="0.25">
      <c r="A53" t="str">
        <f t="shared" si="0"/>
        <v>FOUR</v>
      </c>
      <c r="B53" t="s">
        <v>158</v>
      </c>
      <c r="C53" t="s">
        <v>159</v>
      </c>
      <c r="D53">
        <v>8.1084392882910389E-3</v>
      </c>
      <c r="E53">
        <v>88619384</v>
      </c>
      <c r="F53">
        <v>99.11</v>
      </c>
      <c r="G53">
        <v>88619384</v>
      </c>
      <c r="H53">
        <v>67471184</v>
      </c>
      <c r="I53">
        <v>65419380</v>
      </c>
      <c r="J53">
        <v>8783086592</v>
      </c>
      <c r="K53" t="s">
        <v>48</v>
      </c>
      <c r="L53" t="s">
        <v>125</v>
      </c>
      <c r="M53" t="s">
        <v>18</v>
      </c>
      <c r="N53">
        <v>8783067148.2399998</v>
      </c>
      <c r="O53" t="str">
        <f t="shared" si="1"/>
        <v>Financials</v>
      </c>
    </row>
    <row r="54" spans="1:15" x14ac:dyDescent="0.25">
      <c r="A54" t="str">
        <f t="shared" si="0"/>
        <v>ANSS</v>
      </c>
      <c r="B54" t="s">
        <v>160</v>
      </c>
      <c r="C54" t="s">
        <v>161</v>
      </c>
      <c r="D54">
        <v>2.850542207121718E-2</v>
      </c>
      <c r="E54">
        <v>87913824</v>
      </c>
      <c r="F54">
        <v>351.22</v>
      </c>
      <c r="G54">
        <v>87913824</v>
      </c>
      <c r="H54">
        <v>87916144</v>
      </c>
      <c r="I54">
        <v>87234792</v>
      </c>
      <c r="J54">
        <v>30877906944</v>
      </c>
      <c r="K54" t="s">
        <v>21</v>
      </c>
      <c r="L54" t="s">
        <v>22</v>
      </c>
      <c r="M54" t="s">
        <v>18</v>
      </c>
      <c r="N54">
        <v>30877093265.280003</v>
      </c>
      <c r="O54" t="str">
        <f t="shared" si="1"/>
        <v>Information Technology</v>
      </c>
    </row>
    <row r="55" spans="1:15" x14ac:dyDescent="0.25">
      <c r="A55" t="str">
        <f t="shared" si="0"/>
        <v>NVRI</v>
      </c>
      <c r="B55" t="s">
        <v>162</v>
      </c>
      <c r="C55" t="s">
        <v>163</v>
      </c>
      <c r="D55">
        <v>6.4504794688123774E-4</v>
      </c>
      <c r="E55">
        <v>80497280</v>
      </c>
      <c r="F55">
        <v>8.68</v>
      </c>
      <c r="G55">
        <v>80497280</v>
      </c>
      <c r="H55">
        <v>80497280</v>
      </c>
      <c r="I55">
        <v>72352136</v>
      </c>
      <c r="J55">
        <v>698716416</v>
      </c>
      <c r="K55" t="s">
        <v>44</v>
      </c>
      <c r="L55" t="s">
        <v>155</v>
      </c>
      <c r="M55" t="s">
        <v>18</v>
      </c>
      <c r="N55">
        <v>698716390.39999998</v>
      </c>
      <c r="O55" t="str">
        <f t="shared" si="1"/>
        <v>Industrials</v>
      </c>
    </row>
    <row r="56" spans="1:15" x14ac:dyDescent="0.25">
      <c r="A56" t="str">
        <f t="shared" si="0"/>
        <v>DKS</v>
      </c>
      <c r="B56" t="s">
        <v>164</v>
      </c>
      <c r="C56" t="s">
        <v>165</v>
      </c>
      <c r="D56">
        <v>1.4448959234586589E-2</v>
      </c>
      <c r="E56">
        <v>79122000</v>
      </c>
      <c r="F56">
        <v>197.81</v>
      </c>
      <c r="G56">
        <v>79122000</v>
      </c>
      <c r="H56">
        <v>56476480</v>
      </c>
      <c r="I56">
        <v>54248844</v>
      </c>
      <c r="J56">
        <v>15834119168</v>
      </c>
      <c r="K56" t="s">
        <v>66</v>
      </c>
      <c r="L56" t="s">
        <v>99</v>
      </c>
      <c r="M56" t="s">
        <v>18</v>
      </c>
      <c r="N56">
        <v>15651122820</v>
      </c>
      <c r="O56" t="str">
        <f t="shared" si="1"/>
        <v>Consumer Discretionary</v>
      </c>
    </row>
    <row r="57" spans="1:15" x14ac:dyDescent="0.25">
      <c r="A57" t="str">
        <f t="shared" si="0"/>
        <v>TGI</v>
      </c>
      <c r="B57" t="s">
        <v>166</v>
      </c>
      <c r="C57" t="s">
        <v>167</v>
      </c>
      <c r="D57">
        <v>1.8408069677171895E-3</v>
      </c>
      <c r="E57">
        <v>77435472</v>
      </c>
      <c r="F57">
        <v>25.75</v>
      </c>
      <c r="G57">
        <v>77435472</v>
      </c>
      <c r="H57">
        <v>77715064</v>
      </c>
      <c r="I57">
        <v>75928472</v>
      </c>
      <c r="J57">
        <v>2001163008</v>
      </c>
      <c r="K57" t="s">
        <v>44</v>
      </c>
      <c r="L57" t="s">
        <v>45</v>
      </c>
      <c r="M57" t="s">
        <v>18</v>
      </c>
      <c r="N57">
        <v>1993963404</v>
      </c>
      <c r="O57" t="str">
        <f t="shared" si="1"/>
        <v>Industrials</v>
      </c>
    </row>
    <row r="58" spans="1:15" x14ac:dyDescent="0.25">
      <c r="A58" t="str">
        <f t="shared" si="0"/>
        <v>KMT</v>
      </c>
      <c r="B58" t="s">
        <v>168</v>
      </c>
      <c r="C58" t="s">
        <v>169</v>
      </c>
      <c r="D58">
        <v>1.6158682993596429E-3</v>
      </c>
      <c r="E58">
        <v>76233000</v>
      </c>
      <c r="F58">
        <v>22.96</v>
      </c>
      <c r="G58">
        <v>76233000</v>
      </c>
      <c r="H58">
        <v>76233568</v>
      </c>
      <c r="I58">
        <v>75240472</v>
      </c>
      <c r="J58">
        <v>1750322688</v>
      </c>
      <c r="K58" t="s">
        <v>44</v>
      </c>
      <c r="L58" t="s">
        <v>105</v>
      </c>
      <c r="M58" t="s">
        <v>18</v>
      </c>
      <c r="N58">
        <v>1750309680</v>
      </c>
      <c r="O58" t="str">
        <f t="shared" si="1"/>
        <v>Industrials</v>
      </c>
    </row>
    <row r="59" spans="1:15" x14ac:dyDescent="0.25">
      <c r="A59" t="str">
        <f t="shared" si="0"/>
        <v>OSUR</v>
      </c>
      <c r="B59" t="s">
        <v>170</v>
      </c>
      <c r="C59" t="s">
        <v>171</v>
      </c>
      <c r="D59">
        <v>2.0803346886266472E-4</v>
      </c>
      <c r="E59">
        <v>75114000</v>
      </c>
      <c r="F59">
        <v>3</v>
      </c>
      <c r="G59">
        <v>75114000</v>
      </c>
      <c r="H59">
        <v>74800128</v>
      </c>
      <c r="I59">
        <v>71043016</v>
      </c>
      <c r="J59">
        <v>224400400</v>
      </c>
      <c r="K59" t="s">
        <v>29</v>
      </c>
      <c r="L59" t="s">
        <v>130</v>
      </c>
      <c r="M59" t="s">
        <v>18</v>
      </c>
      <c r="N59">
        <v>225342000</v>
      </c>
      <c r="O59" t="str">
        <f t="shared" si="1"/>
        <v>Health Care</v>
      </c>
    </row>
    <row r="60" spans="1:15" x14ac:dyDescent="0.25">
      <c r="A60" t="str">
        <f t="shared" si="0"/>
        <v>CTLP</v>
      </c>
      <c r="B60" t="s">
        <v>172</v>
      </c>
      <c r="C60" t="s">
        <v>173</v>
      </c>
      <c r="D60">
        <v>7.4105927647375087E-4</v>
      </c>
      <c r="E60">
        <v>73040576</v>
      </c>
      <c r="F60">
        <v>10.99</v>
      </c>
      <c r="G60">
        <v>73040576</v>
      </c>
      <c r="H60">
        <v>73058464</v>
      </c>
      <c r="I60">
        <v>61999004</v>
      </c>
      <c r="J60">
        <v>802912512</v>
      </c>
      <c r="K60" t="s">
        <v>48</v>
      </c>
      <c r="L60" t="s">
        <v>125</v>
      </c>
      <c r="M60" t="s">
        <v>18</v>
      </c>
      <c r="N60">
        <v>802715930.24000001</v>
      </c>
      <c r="O60" t="str">
        <f t="shared" si="1"/>
        <v>Financials</v>
      </c>
    </row>
    <row r="61" spans="1:15" x14ac:dyDescent="0.25">
      <c r="A61" t="str">
        <f t="shared" si="0"/>
        <v>HCSG</v>
      </c>
      <c r="B61" t="s">
        <v>174</v>
      </c>
      <c r="C61" t="s">
        <v>175</v>
      </c>
      <c r="D61">
        <v>1.0117908579644701E-3</v>
      </c>
      <c r="E61">
        <v>72919000</v>
      </c>
      <c r="F61">
        <v>15.03</v>
      </c>
      <c r="G61">
        <v>72919000</v>
      </c>
      <c r="H61">
        <v>72918632</v>
      </c>
      <c r="I61">
        <v>72157752</v>
      </c>
      <c r="J61">
        <v>1095966976</v>
      </c>
      <c r="K61" t="s">
        <v>44</v>
      </c>
      <c r="L61" t="s">
        <v>155</v>
      </c>
      <c r="M61" t="s">
        <v>18</v>
      </c>
      <c r="N61">
        <v>1095972570</v>
      </c>
      <c r="O61" t="str">
        <f t="shared" si="1"/>
        <v>Industrials</v>
      </c>
    </row>
    <row r="62" spans="1:15" x14ac:dyDescent="0.25">
      <c r="A62" t="str">
        <f t="shared" si="0"/>
        <v>WST</v>
      </c>
      <c r="B62" t="s">
        <v>176</v>
      </c>
      <c r="C62" t="s">
        <v>177</v>
      </c>
      <c r="D62">
        <v>1.4503166344833385E-2</v>
      </c>
      <c r="E62">
        <v>71800000</v>
      </c>
      <c r="F62">
        <v>218.8</v>
      </c>
      <c r="G62">
        <v>71800000</v>
      </c>
      <c r="H62">
        <v>71845360</v>
      </c>
      <c r="I62">
        <v>71428072</v>
      </c>
      <c r="J62">
        <v>15719766016</v>
      </c>
      <c r="K62" t="s">
        <v>29</v>
      </c>
      <c r="L62" t="s">
        <v>37</v>
      </c>
      <c r="M62" t="s">
        <v>18</v>
      </c>
      <c r="N62">
        <v>15709840000</v>
      </c>
      <c r="O62" t="str">
        <f t="shared" si="1"/>
        <v>Health Care</v>
      </c>
    </row>
    <row r="63" spans="1:15" x14ac:dyDescent="0.25">
      <c r="A63" t="str">
        <f t="shared" si="0"/>
        <v>UIS</v>
      </c>
      <c r="B63" t="s">
        <v>178</v>
      </c>
      <c r="C63" t="s">
        <v>179</v>
      </c>
      <c r="D63">
        <v>2.9734378745060238E-4</v>
      </c>
      <c r="E63">
        <v>71100000</v>
      </c>
      <c r="F63">
        <v>4.53</v>
      </c>
      <c r="G63">
        <v>71100000</v>
      </c>
      <c r="H63">
        <v>71067096</v>
      </c>
      <c r="I63">
        <v>65552712</v>
      </c>
      <c r="J63">
        <v>321933952</v>
      </c>
      <c r="K63" t="s">
        <v>21</v>
      </c>
      <c r="L63" t="s">
        <v>180</v>
      </c>
      <c r="M63" t="s">
        <v>18</v>
      </c>
      <c r="N63">
        <v>322083000</v>
      </c>
      <c r="O63" t="str">
        <f t="shared" si="1"/>
        <v>Information Technology</v>
      </c>
    </row>
    <row r="64" spans="1:15" x14ac:dyDescent="0.25">
      <c r="A64" t="str">
        <f t="shared" si="0"/>
        <v>MLYS</v>
      </c>
      <c r="B64" t="s">
        <v>181</v>
      </c>
      <c r="C64" t="s">
        <v>182</v>
      </c>
      <c r="D64">
        <v>8.1035339186594723E-4</v>
      </c>
      <c r="E64">
        <v>64876228</v>
      </c>
      <c r="F64">
        <v>13.53</v>
      </c>
      <c r="G64">
        <v>64876228</v>
      </c>
      <c r="H64">
        <v>65175288</v>
      </c>
      <c r="I64">
        <v>38416924</v>
      </c>
      <c r="J64">
        <v>881821632</v>
      </c>
      <c r="K64" t="s">
        <v>29</v>
      </c>
      <c r="L64" t="s">
        <v>54</v>
      </c>
      <c r="M64" t="s">
        <v>18</v>
      </c>
      <c r="N64">
        <v>877775364.83999991</v>
      </c>
      <c r="O64" t="str">
        <f t="shared" si="1"/>
        <v>Health Care</v>
      </c>
    </row>
    <row r="65" spans="1:15" x14ac:dyDescent="0.25">
      <c r="A65" t="str">
        <f t="shared" si="0"/>
        <v>LRMR</v>
      </c>
      <c r="B65" t="s">
        <v>183</v>
      </c>
      <c r="C65" t="s">
        <v>184</v>
      </c>
      <c r="D65">
        <v>1.7082762883853224E-4</v>
      </c>
      <c r="E65">
        <v>64027891.999999993</v>
      </c>
      <c r="F65">
        <v>2.89</v>
      </c>
      <c r="G65">
        <v>64027892</v>
      </c>
      <c r="H65">
        <v>64027892</v>
      </c>
      <c r="I65">
        <v>41527624</v>
      </c>
      <c r="J65">
        <v>185040608</v>
      </c>
      <c r="K65" t="s">
        <v>29</v>
      </c>
      <c r="L65" t="s">
        <v>54</v>
      </c>
      <c r="M65" t="s">
        <v>18</v>
      </c>
      <c r="N65">
        <v>185040607.88</v>
      </c>
      <c r="O65" t="str">
        <f t="shared" si="1"/>
        <v>Health Care</v>
      </c>
    </row>
    <row r="66" spans="1:15" x14ac:dyDescent="0.25">
      <c r="A66" t="str">
        <f t="shared" si="0"/>
        <v>UHS</v>
      </c>
      <c r="B66" t="s">
        <v>185</v>
      </c>
      <c r="C66" t="s">
        <v>186</v>
      </c>
      <c r="D66">
        <v>1.0668179457984617E-2</v>
      </c>
      <c r="E66">
        <v>63791220</v>
      </c>
      <c r="F66">
        <v>181.15</v>
      </c>
      <c r="G66">
        <v>63791220</v>
      </c>
      <c r="H66">
        <v>57189720</v>
      </c>
      <c r="I66">
        <v>53825912</v>
      </c>
      <c r="J66">
        <v>11673377792</v>
      </c>
      <c r="K66" t="s">
        <v>29</v>
      </c>
      <c r="L66" t="s">
        <v>94</v>
      </c>
      <c r="M66" t="s">
        <v>18</v>
      </c>
      <c r="N66">
        <v>11555779503</v>
      </c>
      <c r="O66" t="str">
        <f t="shared" si="1"/>
        <v>Health Care</v>
      </c>
    </row>
    <row r="67" spans="1:15" x14ac:dyDescent="0.25">
      <c r="A67" t="str">
        <f t="shared" ref="A67:A115" si="2">LEFT(B67,SEARCH(" ",B67)-1)</f>
        <v>OLLI</v>
      </c>
      <c r="B67" t="s">
        <v>187</v>
      </c>
      <c r="C67" t="s">
        <v>188</v>
      </c>
      <c r="D67">
        <v>7.4670012930506229E-3</v>
      </c>
      <c r="E67">
        <v>61377000</v>
      </c>
      <c r="F67">
        <v>131.78</v>
      </c>
      <c r="G67">
        <v>61377000</v>
      </c>
      <c r="H67">
        <v>61341120</v>
      </c>
      <c r="I67">
        <v>61154252</v>
      </c>
      <c r="J67">
        <v>8083533312</v>
      </c>
      <c r="K67" t="s">
        <v>66</v>
      </c>
      <c r="L67" t="s">
        <v>189</v>
      </c>
      <c r="M67" t="s">
        <v>18</v>
      </c>
      <c r="N67">
        <v>8088261060</v>
      </c>
      <c r="O67" t="str">
        <f t="shared" ref="O67:O115" si="3">K67</f>
        <v>Consumer Discretionary</v>
      </c>
    </row>
    <row r="68" spans="1:15" x14ac:dyDescent="0.25">
      <c r="A68" t="str">
        <f t="shared" si="2"/>
        <v>HRMY</v>
      </c>
      <c r="B68" t="s">
        <v>190</v>
      </c>
      <c r="C68" t="s">
        <v>191</v>
      </c>
      <c r="D68">
        <v>1.6743342465712621E-3</v>
      </c>
      <c r="E68">
        <v>57393672</v>
      </c>
      <c r="F68">
        <v>31.6</v>
      </c>
      <c r="G68">
        <v>57393672</v>
      </c>
      <c r="H68">
        <v>57424320</v>
      </c>
      <c r="I68">
        <v>48892948</v>
      </c>
      <c r="J68">
        <v>1814608512</v>
      </c>
      <c r="K68" t="s">
        <v>29</v>
      </c>
      <c r="L68" t="s">
        <v>30</v>
      </c>
      <c r="M68" t="s">
        <v>18</v>
      </c>
      <c r="N68">
        <v>1813640035.2</v>
      </c>
      <c r="O68" t="str">
        <f t="shared" si="3"/>
        <v>Health Care</v>
      </c>
    </row>
    <row r="69" spans="1:15" x14ac:dyDescent="0.25">
      <c r="A69" t="str">
        <f t="shared" si="2"/>
        <v>EPAM</v>
      </c>
      <c r="B69" t="s">
        <v>192</v>
      </c>
      <c r="C69" t="s">
        <v>193</v>
      </c>
      <c r="D69">
        <v>9.243540259721874E-3</v>
      </c>
      <c r="E69">
        <v>56626000</v>
      </c>
      <c r="F69">
        <v>176.82</v>
      </c>
      <c r="G69">
        <v>56626000</v>
      </c>
      <c r="H69">
        <v>56652700</v>
      </c>
      <c r="I69">
        <v>54634368</v>
      </c>
      <c r="J69">
        <v>10017330176</v>
      </c>
      <c r="K69" t="s">
        <v>21</v>
      </c>
      <c r="L69" t="s">
        <v>180</v>
      </c>
      <c r="M69" t="s">
        <v>18</v>
      </c>
      <c r="N69">
        <v>10012609320</v>
      </c>
      <c r="O69" t="str">
        <f t="shared" si="3"/>
        <v>Information Technology</v>
      </c>
    </row>
    <row r="70" spans="1:15" x14ac:dyDescent="0.25">
      <c r="A70" t="str">
        <f t="shared" si="2"/>
        <v>STIM</v>
      </c>
      <c r="B70" t="s">
        <v>194</v>
      </c>
      <c r="C70" t="s">
        <v>195</v>
      </c>
      <c r="D70">
        <v>1.7939400262572904E-4</v>
      </c>
      <c r="E70">
        <v>55679000</v>
      </c>
      <c r="F70">
        <v>3.49</v>
      </c>
      <c r="G70">
        <v>55679000</v>
      </c>
      <c r="H70">
        <v>65820344</v>
      </c>
      <c r="I70">
        <v>59839816</v>
      </c>
      <c r="J70">
        <v>229713008</v>
      </c>
      <c r="K70" t="s">
        <v>29</v>
      </c>
      <c r="L70" t="s">
        <v>130</v>
      </c>
      <c r="M70" t="s">
        <v>18</v>
      </c>
      <c r="N70">
        <v>194319710</v>
      </c>
      <c r="O70" t="str">
        <f t="shared" si="3"/>
        <v>Health Care</v>
      </c>
    </row>
    <row r="71" spans="1:15" x14ac:dyDescent="0.25">
      <c r="A71" t="str">
        <f t="shared" si="2"/>
        <v>HLNE</v>
      </c>
      <c r="B71" t="s">
        <v>196</v>
      </c>
      <c r="C71" t="s">
        <v>197</v>
      </c>
      <c r="D71">
        <v>7.304893974383682E-3</v>
      </c>
      <c r="E71">
        <v>55675952</v>
      </c>
      <c r="F71">
        <v>142.12</v>
      </c>
      <c r="G71">
        <v>55675952</v>
      </c>
      <c r="H71">
        <v>41374704</v>
      </c>
      <c r="I71">
        <v>37005172</v>
      </c>
      <c r="J71">
        <v>7610969088</v>
      </c>
      <c r="K71" t="s">
        <v>48</v>
      </c>
      <c r="L71" t="s">
        <v>143</v>
      </c>
      <c r="M71" t="s">
        <v>18</v>
      </c>
      <c r="N71">
        <v>7912666298.2400007</v>
      </c>
      <c r="O71" t="str">
        <f t="shared" si="3"/>
        <v>Financials</v>
      </c>
    </row>
    <row r="72" spans="1:15" x14ac:dyDescent="0.25">
      <c r="A72" t="str">
        <f t="shared" si="2"/>
        <v>FIVE</v>
      </c>
      <c r="B72" t="s">
        <v>198</v>
      </c>
      <c r="C72" t="s">
        <v>199</v>
      </c>
      <c r="D72">
        <v>6.6678944408805046E-3</v>
      </c>
      <c r="E72">
        <v>55059216</v>
      </c>
      <c r="F72">
        <v>131.18</v>
      </c>
      <c r="G72">
        <v>55059216</v>
      </c>
      <c r="H72">
        <v>55058004</v>
      </c>
      <c r="I72">
        <v>53695840</v>
      </c>
      <c r="J72">
        <v>7222509056</v>
      </c>
      <c r="K72" t="s">
        <v>66</v>
      </c>
      <c r="L72" t="s">
        <v>99</v>
      </c>
      <c r="M72" t="s">
        <v>18</v>
      </c>
      <c r="N72">
        <v>7222667954.8800001</v>
      </c>
      <c r="O72" t="str">
        <f t="shared" si="3"/>
        <v>Consumer Discretionary</v>
      </c>
    </row>
    <row r="73" spans="1:15" x14ac:dyDescent="0.25">
      <c r="A73" t="str">
        <f t="shared" si="2"/>
        <v>CNR</v>
      </c>
      <c r="B73" t="s">
        <v>200</v>
      </c>
      <c r="C73" t="s">
        <v>201</v>
      </c>
      <c r="D73">
        <v>3.3890983397482453E-3</v>
      </c>
      <c r="E73">
        <v>52639428</v>
      </c>
      <c r="F73">
        <v>69.739999999999995</v>
      </c>
      <c r="G73">
        <v>52639428</v>
      </c>
      <c r="H73">
        <v>52660076</v>
      </c>
      <c r="I73">
        <v>49207496</v>
      </c>
      <c r="J73">
        <v>3672513792</v>
      </c>
      <c r="K73" t="s">
        <v>40</v>
      </c>
      <c r="L73" t="s">
        <v>41</v>
      </c>
      <c r="M73" t="s">
        <v>18</v>
      </c>
      <c r="N73">
        <v>3671073708.7199998</v>
      </c>
      <c r="O73" t="str">
        <f t="shared" si="3"/>
        <v>Energy</v>
      </c>
    </row>
    <row r="74" spans="1:15" x14ac:dyDescent="0.25">
      <c r="A74" t="str">
        <f t="shared" si="2"/>
        <v>CRS</v>
      </c>
      <c r="B74" t="s">
        <v>202</v>
      </c>
      <c r="C74" t="s">
        <v>203</v>
      </c>
      <c r="D74">
        <v>1.2699112842065206E-2</v>
      </c>
      <c r="E74">
        <v>49770924</v>
      </c>
      <c r="F74">
        <v>276.38</v>
      </c>
      <c r="G74">
        <v>49770924</v>
      </c>
      <c r="H74">
        <v>49779344</v>
      </c>
      <c r="I74">
        <v>48429200</v>
      </c>
      <c r="J74">
        <v>13758014464</v>
      </c>
      <c r="K74" t="s">
        <v>70</v>
      </c>
      <c r="L74" t="s">
        <v>71</v>
      </c>
      <c r="M74" t="s">
        <v>18</v>
      </c>
      <c r="N74">
        <v>13755687975.119999</v>
      </c>
      <c r="O74" t="str">
        <f t="shared" si="3"/>
        <v>Materials</v>
      </c>
    </row>
    <row r="75" spans="1:15" x14ac:dyDescent="0.25">
      <c r="A75" t="str">
        <f t="shared" si="2"/>
        <v>WCC</v>
      </c>
      <c r="B75" t="s">
        <v>204</v>
      </c>
      <c r="C75" t="s">
        <v>205</v>
      </c>
      <c r="D75">
        <v>8.3435828463939762E-3</v>
      </c>
      <c r="E75">
        <v>48800080</v>
      </c>
      <c r="F75">
        <v>185.2</v>
      </c>
      <c r="G75">
        <v>48800080</v>
      </c>
      <c r="H75">
        <v>48803692</v>
      </c>
      <c r="I75">
        <v>47411360</v>
      </c>
      <c r="J75">
        <v>9038443520</v>
      </c>
      <c r="K75" t="s">
        <v>44</v>
      </c>
      <c r="L75" t="s">
        <v>206</v>
      </c>
      <c r="M75" t="s">
        <v>18</v>
      </c>
      <c r="N75">
        <v>9037774816</v>
      </c>
      <c r="O75" t="str">
        <f t="shared" si="3"/>
        <v>Industrials</v>
      </c>
    </row>
    <row r="76" spans="1:15" x14ac:dyDescent="0.25">
      <c r="A76" t="str">
        <f t="shared" si="2"/>
        <v>DUOL</v>
      </c>
      <c r="B76" t="s">
        <v>207</v>
      </c>
      <c r="C76" t="s">
        <v>208</v>
      </c>
      <c r="D76">
        <v>1.7191152337006937E-2</v>
      </c>
      <c r="E76">
        <v>45416000</v>
      </c>
      <c r="F76">
        <v>410.02</v>
      </c>
      <c r="G76">
        <v>45416000</v>
      </c>
      <c r="H76">
        <v>39260632</v>
      </c>
      <c r="I76">
        <v>38152056</v>
      </c>
      <c r="J76">
        <v>18637150208</v>
      </c>
      <c r="K76" t="s">
        <v>66</v>
      </c>
      <c r="L76" t="s">
        <v>209</v>
      </c>
      <c r="M76" t="s">
        <v>18</v>
      </c>
      <c r="N76">
        <v>18621468320</v>
      </c>
      <c r="O76" t="str">
        <f t="shared" si="3"/>
        <v>Consumer Discretionary</v>
      </c>
    </row>
    <row r="77" spans="1:15" x14ac:dyDescent="0.25">
      <c r="A77" t="str">
        <f t="shared" si="2"/>
        <v>TFX</v>
      </c>
      <c r="B77" t="s">
        <v>210</v>
      </c>
      <c r="C77" t="s">
        <v>211</v>
      </c>
      <c r="D77">
        <v>4.881581943932266E-3</v>
      </c>
      <c r="E77">
        <v>44675000</v>
      </c>
      <c r="F77">
        <v>118.36</v>
      </c>
      <c r="G77">
        <v>44675000</v>
      </c>
      <c r="H77">
        <v>44188984</v>
      </c>
      <c r="I77">
        <v>43999256</v>
      </c>
      <c r="J77">
        <v>5230208512</v>
      </c>
      <c r="K77" t="s">
        <v>29</v>
      </c>
      <c r="L77" t="s">
        <v>130</v>
      </c>
      <c r="M77" t="s">
        <v>18</v>
      </c>
      <c r="N77">
        <v>5287733000</v>
      </c>
      <c r="O77" t="str">
        <f t="shared" si="3"/>
        <v>Health Care</v>
      </c>
    </row>
    <row r="78" spans="1:15" x14ac:dyDescent="0.25">
      <c r="A78" t="str">
        <f t="shared" si="2"/>
        <v>AWI</v>
      </c>
      <c r="B78" t="s">
        <v>212</v>
      </c>
      <c r="C78" t="s">
        <v>213</v>
      </c>
      <c r="D78">
        <v>6.5121301864789578E-3</v>
      </c>
      <c r="E78">
        <v>43424920</v>
      </c>
      <c r="F78">
        <v>162.44</v>
      </c>
      <c r="G78">
        <v>43424920</v>
      </c>
      <c r="H78">
        <v>43426816</v>
      </c>
      <c r="I78">
        <v>42851512</v>
      </c>
      <c r="J78">
        <v>7054252032</v>
      </c>
      <c r="K78" t="s">
        <v>44</v>
      </c>
      <c r="L78" t="s">
        <v>214</v>
      </c>
      <c r="M78" t="s">
        <v>18</v>
      </c>
      <c r="N78">
        <v>7053944004.8000002</v>
      </c>
      <c r="O78" t="str">
        <f t="shared" si="3"/>
        <v>Industrials</v>
      </c>
    </row>
    <row r="79" spans="1:15" x14ac:dyDescent="0.25">
      <c r="A79" t="str">
        <f t="shared" si="2"/>
        <v>MSA</v>
      </c>
      <c r="B79" t="s">
        <v>215</v>
      </c>
      <c r="C79" t="s">
        <v>216</v>
      </c>
      <c r="D79">
        <v>6.0780407447784757E-3</v>
      </c>
      <c r="E79">
        <v>39298860</v>
      </c>
      <c r="F79">
        <v>167.53</v>
      </c>
      <c r="G79">
        <v>39298860</v>
      </c>
      <c r="H79">
        <v>39305892</v>
      </c>
      <c r="I79">
        <v>37169416</v>
      </c>
      <c r="J79">
        <v>6584916480</v>
      </c>
      <c r="K79" t="s">
        <v>44</v>
      </c>
      <c r="L79" t="s">
        <v>155</v>
      </c>
      <c r="M79" t="s">
        <v>18</v>
      </c>
      <c r="N79">
        <v>6583738015.8000002</v>
      </c>
      <c r="O79" t="str">
        <f t="shared" si="3"/>
        <v>Industrials</v>
      </c>
    </row>
    <row r="80" spans="1:15" x14ac:dyDescent="0.25">
      <c r="A80" t="str">
        <f t="shared" si="2"/>
        <v>ENS</v>
      </c>
      <c r="B80" t="s">
        <v>217</v>
      </c>
      <c r="C80" t="s">
        <v>218</v>
      </c>
      <c r="D80">
        <v>3.1033057610715805E-3</v>
      </c>
      <c r="E80">
        <v>39192060</v>
      </c>
      <c r="F80">
        <v>85.77</v>
      </c>
      <c r="G80">
        <v>39192060</v>
      </c>
      <c r="H80">
        <v>38593212</v>
      </c>
      <c r="I80">
        <v>37924932</v>
      </c>
      <c r="J80">
        <v>3310139904</v>
      </c>
      <c r="K80" t="s">
        <v>44</v>
      </c>
      <c r="L80" t="s">
        <v>77</v>
      </c>
      <c r="M80" t="s">
        <v>18</v>
      </c>
      <c r="N80">
        <v>3361502986.1999998</v>
      </c>
      <c r="O80" t="str">
        <f t="shared" si="3"/>
        <v>Industrials</v>
      </c>
    </row>
    <row r="81" spans="1:15" x14ac:dyDescent="0.25">
      <c r="A81" t="str">
        <f t="shared" si="2"/>
        <v>STBA</v>
      </c>
      <c r="B81" t="s">
        <v>219</v>
      </c>
      <c r="C81" t="s">
        <v>220</v>
      </c>
      <c r="D81">
        <v>1.3358949640556029E-3</v>
      </c>
      <c r="E81">
        <v>38261300</v>
      </c>
      <c r="F81">
        <v>37.82</v>
      </c>
      <c r="G81">
        <v>38261300</v>
      </c>
      <c r="H81">
        <v>38330328</v>
      </c>
      <c r="I81">
        <v>37752488</v>
      </c>
      <c r="J81">
        <v>1449653120</v>
      </c>
      <c r="K81" t="s">
        <v>48</v>
      </c>
      <c r="L81" t="s">
        <v>49</v>
      </c>
      <c r="M81" t="s">
        <v>18</v>
      </c>
      <c r="N81">
        <v>1447042366</v>
      </c>
      <c r="O81" t="str">
        <f t="shared" si="3"/>
        <v>Financials</v>
      </c>
    </row>
    <row r="82" spans="1:15" x14ac:dyDescent="0.25">
      <c r="A82" t="str">
        <f t="shared" si="2"/>
        <v>LNKB</v>
      </c>
      <c r="B82" t="s">
        <v>221</v>
      </c>
      <c r="C82" t="s">
        <v>222</v>
      </c>
      <c r="D82">
        <v>2.5224169772346749E-4</v>
      </c>
      <c r="E82">
        <v>37377344</v>
      </c>
      <c r="F82">
        <v>7.31</v>
      </c>
      <c r="G82">
        <v>37377344</v>
      </c>
      <c r="H82">
        <v>37385136</v>
      </c>
      <c r="I82">
        <v>24571528</v>
      </c>
      <c r="J82">
        <v>273285344</v>
      </c>
      <c r="K82" t="s">
        <v>48</v>
      </c>
      <c r="L82" t="s">
        <v>49</v>
      </c>
      <c r="M82" t="s">
        <v>18</v>
      </c>
      <c r="N82">
        <v>273228384.63999999</v>
      </c>
      <c r="O82" t="str">
        <f t="shared" si="3"/>
        <v>Financials</v>
      </c>
    </row>
    <row r="83" spans="1:15" x14ac:dyDescent="0.25">
      <c r="A83" t="str">
        <f t="shared" si="2"/>
        <v>DGICA</v>
      </c>
      <c r="B83" t="s">
        <v>223</v>
      </c>
      <c r="C83" t="s">
        <v>224</v>
      </c>
      <c r="D83">
        <v>6.65653638800017E-4</v>
      </c>
      <c r="E83">
        <v>36006816</v>
      </c>
      <c r="F83">
        <v>20.024999999999999</v>
      </c>
      <c r="G83">
        <v>36006816</v>
      </c>
      <c r="H83">
        <v>30519896</v>
      </c>
      <c r="I83">
        <v>16582293</v>
      </c>
      <c r="J83">
        <v>710260224</v>
      </c>
      <c r="K83" t="s">
        <v>48</v>
      </c>
      <c r="L83" t="s">
        <v>108</v>
      </c>
      <c r="M83" t="s">
        <v>18</v>
      </c>
      <c r="N83">
        <v>721036490.39999998</v>
      </c>
      <c r="O83" t="str">
        <f t="shared" si="3"/>
        <v>Financials</v>
      </c>
    </row>
    <row r="84" spans="1:15" x14ac:dyDescent="0.25">
      <c r="A84" t="str">
        <f t="shared" si="2"/>
        <v>TSE</v>
      </c>
      <c r="B84" t="s">
        <v>225</v>
      </c>
      <c r="C84" t="s">
        <v>226</v>
      </c>
      <c r="D84">
        <v>1.0282858897053831E-4</v>
      </c>
      <c r="E84">
        <v>35700000</v>
      </c>
      <c r="F84">
        <v>3.12</v>
      </c>
      <c r="G84">
        <v>35700000</v>
      </c>
      <c r="H84">
        <v>35650312</v>
      </c>
      <c r="I84">
        <v>32484460</v>
      </c>
      <c r="J84">
        <v>111228968</v>
      </c>
      <c r="K84" t="s">
        <v>70</v>
      </c>
      <c r="L84" t="s">
        <v>82</v>
      </c>
      <c r="M84" t="s">
        <v>18</v>
      </c>
      <c r="N84">
        <v>111384000</v>
      </c>
      <c r="O84" t="str">
        <f t="shared" si="3"/>
        <v>Materials</v>
      </c>
    </row>
    <row r="85" spans="1:15" x14ac:dyDescent="0.25">
      <c r="A85" t="str">
        <f t="shared" si="2"/>
        <v>AVBP</v>
      </c>
      <c r="B85" t="s">
        <v>227</v>
      </c>
      <c r="C85" t="s">
        <v>228</v>
      </c>
      <c r="D85">
        <v>6.8415066565715864E-4</v>
      </c>
      <c r="E85">
        <v>34040996</v>
      </c>
      <c r="F85">
        <v>21.77</v>
      </c>
      <c r="G85">
        <v>34040996</v>
      </c>
      <c r="H85">
        <v>34212560</v>
      </c>
      <c r="I85">
        <v>27319380</v>
      </c>
      <c r="J85">
        <v>744807424</v>
      </c>
      <c r="K85" t="s">
        <v>29</v>
      </c>
      <c r="L85" t="s">
        <v>54</v>
      </c>
      <c r="M85" t="s">
        <v>18</v>
      </c>
      <c r="N85">
        <v>741072482.91999996</v>
      </c>
      <c r="O85" t="str">
        <f t="shared" si="3"/>
        <v>Health Care</v>
      </c>
    </row>
    <row r="86" spans="1:15" x14ac:dyDescent="0.25">
      <c r="A86" t="str">
        <f t="shared" si="2"/>
        <v>CUBI</v>
      </c>
      <c r="B86" t="s">
        <v>229</v>
      </c>
      <c r="C86" t="s">
        <v>230</v>
      </c>
      <c r="D86">
        <v>1.7070559557962703E-3</v>
      </c>
      <c r="E86">
        <v>31479132</v>
      </c>
      <c r="F86">
        <v>58.74</v>
      </c>
      <c r="G86">
        <v>31479132</v>
      </c>
      <c r="H86">
        <v>31587794</v>
      </c>
      <c r="I86">
        <v>28774596</v>
      </c>
      <c r="J86">
        <v>1855467008</v>
      </c>
      <c r="K86" t="s">
        <v>48</v>
      </c>
      <c r="L86" t="s">
        <v>49</v>
      </c>
      <c r="M86" t="s">
        <v>18</v>
      </c>
      <c r="N86">
        <v>1849084213.6800001</v>
      </c>
      <c r="O86" t="str">
        <f t="shared" si="3"/>
        <v>Financials</v>
      </c>
    </row>
    <row r="87" spans="1:15" x14ac:dyDescent="0.25">
      <c r="A87" t="str">
        <f t="shared" si="2"/>
        <v>BKSY</v>
      </c>
      <c r="B87" t="s">
        <v>231</v>
      </c>
      <c r="C87" t="s">
        <v>232</v>
      </c>
      <c r="D87">
        <v>5.957404545710776E-4</v>
      </c>
      <c r="E87">
        <v>31356000.000000004</v>
      </c>
      <c r="F87">
        <v>20.58</v>
      </c>
      <c r="G87">
        <v>31356000</v>
      </c>
      <c r="H87">
        <v>31652390</v>
      </c>
      <c r="I87">
        <v>26274028</v>
      </c>
      <c r="J87">
        <v>651406208</v>
      </c>
      <c r="K87" t="s">
        <v>44</v>
      </c>
      <c r="L87" t="s">
        <v>233</v>
      </c>
      <c r="M87" t="s">
        <v>18</v>
      </c>
      <c r="N87">
        <v>645306480</v>
      </c>
      <c r="O87" t="str">
        <f t="shared" si="3"/>
        <v>Industrials</v>
      </c>
    </row>
    <row r="88" spans="1:15" x14ac:dyDescent="0.25">
      <c r="A88" t="str">
        <f t="shared" si="2"/>
        <v>MATW</v>
      </c>
      <c r="B88" t="s">
        <v>234</v>
      </c>
      <c r="C88" t="s">
        <v>235</v>
      </c>
      <c r="D88">
        <v>6.8359334242280628E-4</v>
      </c>
      <c r="E88">
        <v>30969000</v>
      </c>
      <c r="F88">
        <v>23.91</v>
      </c>
      <c r="G88">
        <v>30969000</v>
      </c>
      <c r="H88">
        <v>31008624</v>
      </c>
      <c r="I88">
        <v>29437516</v>
      </c>
      <c r="J88">
        <v>741416192</v>
      </c>
      <c r="K88" t="s">
        <v>66</v>
      </c>
      <c r="L88" t="s">
        <v>209</v>
      </c>
      <c r="M88" t="s">
        <v>18</v>
      </c>
      <c r="N88">
        <v>740468790</v>
      </c>
      <c r="O88" t="str">
        <f t="shared" si="3"/>
        <v>Consumer Discretionary</v>
      </c>
    </row>
    <row r="89" spans="1:15" x14ac:dyDescent="0.25">
      <c r="A89" t="str">
        <f t="shared" si="2"/>
        <v>DORM</v>
      </c>
      <c r="B89" t="s">
        <v>236</v>
      </c>
      <c r="C89" t="s">
        <v>237</v>
      </c>
      <c r="D89">
        <v>3.461513217697585E-3</v>
      </c>
      <c r="E89">
        <v>30565856</v>
      </c>
      <c r="F89">
        <v>122.67</v>
      </c>
      <c r="G89">
        <v>30565856</v>
      </c>
      <c r="H89">
        <v>30511174</v>
      </c>
      <c r="I89">
        <v>27416152</v>
      </c>
      <c r="J89">
        <v>3742805760</v>
      </c>
      <c r="K89" t="s">
        <v>66</v>
      </c>
      <c r="L89" t="s">
        <v>238</v>
      </c>
      <c r="M89" t="s">
        <v>18</v>
      </c>
      <c r="N89">
        <v>3749513555.52</v>
      </c>
      <c r="O89" t="str">
        <f t="shared" si="3"/>
        <v>Consumer Discretionary</v>
      </c>
    </row>
    <row r="90" spans="1:15" x14ac:dyDescent="0.25">
      <c r="A90" t="str">
        <f t="shared" si="2"/>
        <v>UVSP</v>
      </c>
      <c r="B90" t="s">
        <v>239</v>
      </c>
      <c r="C90" t="s">
        <v>240</v>
      </c>
      <c r="D90">
        <v>8.0321028450925736E-4</v>
      </c>
      <c r="E90">
        <v>28962648</v>
      </c>
      <c r="F90">
        <v>30.04</v>
      </c>
      <c r="G90">
        <v>28962648</v>
      </c>
      <c r="H90">
        <v>28880154</v>
      </c>
      <c r="I90">
        <v>27760312</v>
      </c>
      <c r="J90">
        <v>867559808</v>
      </c>
      <c r="K90" t="s">
        <v>48</v>
      </c>
      <c r="L90" t="s">
        <v>49</v>
      </c>
      <c r="M90" t="s">
        <v>18</v>
      </c>
      <c r="N90">
        <v>870037945.91999996</v>
      </c>
      <c r="O90" t="str">
        <f t="shared" si="3"/>
        <v>Financials</v>
      </c>
    </row>
    <row r="91" spans="1:15" x14ac:dyDescent="0.25">
      <c r="A91" t="str">
        <f t="shared" si="2"/>
        <v>KRYS</v>
      </c>
      <c r="B91" t="s">
        <v>241</v>
      </c>
      <c r="C91" t="s">
        <v>242</v>
      </c>
      <c r="D91">
        <v>3.6673319395513432E-3</v>
      </c>
      <c r="E91">
        <v>28899000</v>
      </c>
      <c r="F91">
        <v>137.46</v>
      </c>
      <c r="G91">
        <v>28899000</v>
      </c>
      <c r="H91">
        <v>28898680</v>
      </c>
      <c r="I91">
        <v>25556442</v>
      </c>
      <c r="J91">
        <v>3972412672</v>
      </c>
      <c r="K91" t="s">
        <v>29</v>
      </c>
      <c r="L91" t="s">
        <v>54</v>
      </c>
      <c r="M91" t="s">
        <v>18</v>
      </c>
      <c r="N91">
        <v>3972456540</v>
      </c>
      <c r="O91" t="str">
        <f t="shared" si="3"/>
        <v>Health Care</v>
      </c>
    </row>
    <row r="92" spans="1:15" x14ac:dyDescent="0.25">
      <c r="A92" t="str">
        <f t="shared" si="2"/>
        <v>WMK</v>
      </c>
      <c r="B92" t="s">
        <v>243</v>
      </c>
      <c r="C92" t="s">
        <v>244</v>
      </c>
      <c r="D92">
        <v>1.800098723840501E-3</v>
      </c>
      <c r="E92">
        <v>26898444</v>
      </c>
      <c r="F92">
        <v>72.489999999999995</v>
      </c>
      <c r="G92">
        <v>26898444</v>
      </c>
      <c r="H92">
        <v>26898444</v>
      </c>
      <c r="I92">
        <v>15690690</v>
      </c>
      <c r="J92">
        <v>1949868160</v>
      </c>
      <c r="K92" t="s">
        <v>25</v>
      </c>
      <c r="L92" t="s">
        <v>245</v>
      </c>
      <c r="M92" t="s">
        <v>18</v>
      </c>
      <c r="N92">
        <v>1949868205.5599999</v>
      </c>
      <c r="O92" t="str">
        <f t="shared" si="3"/>
        <v>Consumer Staples</v>
      </c>
    </row>
    <row r="93" spans="1:15" x14ac:dyDescent="0.25">
      <c r="A93" t="str">
        <f t="shared" si="2"/>
        <v>MDGL</v>
      </c>
      <c r="B93" t="s">
        <v>246</v>
      </c>
      <c r="C93" t="s">
        <v>247</v>
      </c>
      <c r="D93">
        <v>6.1991192798214719E-3</v>
      </c>
      <c r="E93">
        <v>22187716</v>
      </c>
      <c r="F93">
        <v>302.64</v>
      </c>
      <c r="G93">
        <v>22187716</v>
      </c>
      <c r="H93">
        <v>22203282</v>
      </c>
      <c r="I93">
        <v>18313610</v>
      </c>
      <c r="J93">
        <v>6719601152</v>
      </c>
      <c r="K93" t="s">
        <v>29</v>
      </c>
      <c r="L93" t="s">
        <v>54</v>
      </c>
      <c r="M93" t="s">
        <v>18</v>
      </c>
      <c r="N93">
        <v>6714890370.2399998</v>
      </c>
      <c r="O93" t="str">
        <f t="shared" si="3"/>
        <v>Health Care</v>
      </c>
    </row>
    <row r="94" spans="1:15" x14ac:dyDescent="0.25">
      <c r="A94" t="str">
        <f t="shared" si="2"/>
        <v>CCNE</v>
      </c>
      <c r="B94" t="s">
        <v>248</v>
      </c>
      <c r="C94" t="s">
        <v>249</v>
      </c>
      <c r="D94">
        <v>4.4276963254808588E-4</v>
      </c>
      <c r="E94">
        <v>20980244</v>
      </c>
      <c r="F94">
        <v>22.86</v>
      </c>
      <c r="G94">
        <v>20980244</v>
      </c>
      <c r="H94">
        <v>20979344</v>
      </c>
      <c r="I94">
        <v>20212616</v>
      </c>
      <c r="J94">
        <v>479587808</v>
      </c>
      <c r="K94" t="s">
        <v>48</v>
      </c>
      <c r="L94" t="s">
        <v>49</v>
      </c>
      <c r="M94" t="s">
        <v>18</v>
      </c>
      <c r="N94">
        <v>479608377.83999997</v>
      </c>
      <c r="O94" t="str">
        <f t="shared" si="3"/>
        <v>Financials</v>
      </c>
    </row>
    <row r="95" spans="1:15" x14ac:dyDescent="0.25">
      <c r="A95" t="str">
        <f t="shared" si="2"/>
        <v>KOP</v>
      </c>
      <c r="B95" t="s">
        <v>250</v>
      </c>
      <c r="C95" t="s">
        <v>251</v>
      </c>
      <c r="D95">
        <v>5.9370415428882512E-4</v>
      </c>
      <c r="E95">
        <v>20003134</v>
      </c>
      <c r="F95">
        <v>32.15</v>
      </c>
      <c r="G95">
        <v>20003134</v>
      </c>
      <c r="H95">
        <v>20010068</v>
      </c>
      <c r="I95">
        <v>18953102</v>
      </c>
      <c r="J95">
        <v>643323712</v>
      </c>
      <c r="K95" t="s">
        <v>70</v>
      </c>
      <c r="L95" t="s">
        <v>82</v>
      </c>
      <c r="M95" t="s">
        <v>18</v>
      </c>
      <c r="N95">
        <v>643100758.10000002</v>
      </c>
      <c r="O95" t="str">
        <f t="shared" si="3"/>
        <v>Materials</v>
      </c>
    </row>
    <row r="96" spans="1:15" x14ac:dyDescent="0.25">
      <c r="A96" t="str">
        <f t="shared" si="2"/>
        <v>ORRF</v>
      </c>
      <c r="B96" t="s">
        <v>252</v>
      </c>
      <c r="C96" t="s">
        <v>253</v>
      </c>
      <c r="D96">
        <v>5.7329348325505078E-4</v>
      </c>
      <c r="E96">
        <v>19509642</v>
      </c>
      <c r="F96">
        <v>31.83</v>
      </c>
      <c r="G96">
        <v>19509642</v>
      </c>
      <c r="H96">
        <v>19508544</v>
      </c>
      <c r="I96">
        <v>18173368</v>
      </c>
      <c r="J96">
        <v>620956992</v>
      </c>
      <c r="K96" t="s">
        <v>48</v>
      </c>
      <c r="L96" t="s">
        <v>49</v>
      </c>
      <c r="M96" t="s">
        <v>18</v>
      </c>
      <c r="N96">
        <v>620991904.86000001</v>
      </c>
      <c r="O96" t="str">
        <f t="shared" si="3"/>
        <v>Financials</v>
      </c>
    </row>
    <row r="97" spans="1:15" x14ac:dyDescent="0.25">
      <c r="A97" t="str">
        <f t="shared" si="2"/>
        <v>MPB</v>
      </c>
      <c r="B97" t="s">
        <v>254</v>
      </c>
      <c r="C97" t="s">
        <v>255</v>
      </c>
      <c r="D97">
        <v>5.0407191262735144E-4</v>
      </c>
      <c r="E97">
        <v>19362094</v>
      </c>
      <c r="F97">
        <v>28.2</v>
      </c>
      <c r="G97">
        <v>19362094</v>
      </c>
      <c r="H97">
        <v>22957404</v>
      </c>
      <c r="I97">
        <v>20867936</v>
      </c>
      <c r="J97">
        <v>647398784</v>
      </c>
      <c r="K97" t="s">
        <v>48</v>
      </c>
      <c r="L97" t="s">
        <v>49</v>
      </c>
      <c r="M97" t="s">
        <v>18</v>
      </c>
      <c r="N97">
        <v>546011050.79999995</v>
      </c>
      <c r="O97" t="str">
        <f t="shared" si="3"/>
        <v>Financials</v>
      </c>
    </row>
    <row r="98" spans="1:15" x14ac:dyDescent="0.25">
      <c r="A98" t="str">
        <f t="shared" si="2"/>
        <v>KWR</v>
      </c>
      <c r="B98" t="s">
        <v>256</v>
      </c>
      <c r="C98" t="s">
        <v>257</v>
      </c>
      <c r="D98">
        <v>1.8271237539411044E-3</v>
      </c>
      <c r="E98">
        <v>17680380</v>
      </c>
      <c r="F98">
        <v>111.94</v>
      </c>
      <c r="G98">
        <v>17680380</v>
      </c>
      <c r="H98">
        <v>17680656</v>
      </c>
      <c r="I98">
        <v>13795013</v>
      </c>
      <c r="J98">
        <v>1979172480</v>
      </c>
      <c r="K98" t="s">
        <v>70</v>
      </c>
      <c r="L98" t="s">
        <v>82</v>
      </c>
      <c r="M98" t="s">
        <v>18</v>
      </c>
      <c r="N98">
        <v>1979141737.2</v>
      </c>
      <c r="O98" t="str">
        <f t="shared" si="3"/>
        <v>Materials</v>
      </c>
    </row>
    <row r="99" spans="1:15" x14ac:dyDescent="0.25">
      <c r="A99" t="str">
        <f t="shared" si="2"/>
        <v>CZNC</v>
      </c>
      <c r="B99" t="s">
        <v>258</v>
      </c>
      <c r="C99" t="s">
        <v>259</v>
      </c>
      <c r="D99">
        <v>2.707209660618759E-4</v>
      </c>
      <c r="E99">
        <v>15482848</v>
      </c>
      <c r="F99">
        <v>18.940000000000001</v>
      </c>
      <c r="G99">
        <v>15482848</v>
      </c>
      <c r="H99">
        <v>15494591</v>
      </c>
      <c r="I99">
        <v>14414920</v>
      </c>
      <c r="J99">
        <v>293467552</v>
      </c>
      <c r="K99" t="s">
        <v>48</v>
      </c>
      <c r="L99" t="s">
        <v>49</v>
      </c>
      <c r="M99" t="s">
        <v>18</v>
      </c>
      <c r="N99">
        <v>293245141.12</v>
      </c>
      <c r="O99" t="str">
        <f t="shared" si="3"/>
        <v>Financials</v>
      </c>
    </row>
    <row r="100" spans="1:15" x14ac:dyDescent="0.25">
      <c r="A100" t="str">
        <f t="shared" si="2"/>
        <v>YORW</v>
      </c>
      <c r="B100" t="s">
        <v>260</v>
      </c>
      <c r="C100" t="s">
        <v>261</v>
      </c>
      <c r="D100">
        <v>4.2007814265028855E-4</v>
      </c>
      <c r="E100">
        <v>14399650</v>
      </c>
      <c r="F100">
        <v>31.6</v>
      </c>
      <c r="G100">
        <v>14399650</v>
      </c>
      <c r="H100">
        <v>14400277</v>
      </c>
      <c r="I100">
        <v>14193460</v>
      </c>
      <c r="J100">
        <v>455048768</v>
      </c>
      <c r="K100" t="s">
        <v>33</v>
      </c>
      <c r="L100" t="s">
        <v>59</v>
      </c>
      <c r="M100" t="s">
        <v>18</v>
      </c>
      <c r="N100">
        <v>455028940</v>
      </c>
      <c r="O100" t="str">
        <f t="shared" si="3"/>
        <v>Utilities</v>
      </c>
    </row>
    <row r="101" spans="1:15" x14ac:dyDescent="0.25">
      <c r="A101" t="str">
        <f t="shared" si="2"/>
        <v>UHT</v>
      </c>
      <c r="B101" t="s">
        <v>262</v>
      </c>
      <c r="C101" t="s">
        <v>263</v>
      </c>
      <c r="D101">
        <v>5.1111785074331104E-4</v>
      </c>
      <c r="E101">
        <v>13851469</v>
      </c>
      <c r="F101">
        <v>39.97</v>
      </c>
      <c r="G101">
        <v>13851469</v>
      </c>
      <c r="H101">
        <v>13851507</v>
      </c>
      <c r="I101">
        <v>12713725</v>
      </c>
      <c r="J101">
        <v>553644736</v>
      </c>
      <c r="K101" t="s">
        <v>62</v>
      </c>
      <c r="L101" t="s">
        <v>264</v>
      </c>
      <c r="M101" t="s">
        <v>18</v>
      </c>
      <c r="N101">
        <v>553643215.92999995</v>
      </c>
      <c r="O101" t="str">
        <f t="shared" si="3"/>
        <v>Real Estate</v>
      </c>
    </row>
    <row r="102" spans="1:15" x14ac:dyDescent="0.25">
      <c r="A102" t="str">
        <f t="shared" si="2"/>
        <v>VPG</v>
      </c>
      <c r="B102" t="s">
        <v>265</v>
      </c>
      <c r="C102" t="s">
        <v>266</v>
      </c>
      <c r="D102">
        <v>3.4391710834810393E-4</v>
      </c>
      <c r="E102">
        <v>13257340</v>
      </c>
      <c r="F102">
        <v>28.1</v>
      </c>
      <c r="G102">
        <v>13257340</v>
      </c>
      <c r="H102">
        <v>12234453</v>
      </c>
      <c r="I102">
        <v>11681219</v>
      </c>
      <c r="J102">
        <v>372531264</v>
      </c>
      <c r="K102" t="s">
        <v>21</v>
      </c>
      <c r="L102" t="s">
        <v>113</v>
      </c>
      <c r="M102" t="s">
        <v>18</v>
      </c>
      <c r="N102">
        <v>372531254</v>
      </c>
      <c r="O102" t="str">
        <f t="shared" si="3"/>
        <v>Information Technology</v>
      </c>
    </row>
    <row r="103" spans="1:15" x14ac:dyDescent="0.25">
      <c r="A103" t="str">
        <f t="shared" si="2"/>
        <v>LMB</v>
      </c>
      <c r="B103" t="s">
        <v>267</v>
      </c>
      <c r="C103" t="s">
        <v>268</v>
      </c>
      <c r="D103">
        <v>1.5035181544497478E-3</v>
      </c>
      <c r="E103">
        <v>11624639</v>
      </c>
      <c r="F103">
        <v>140.1</v>
      </c>
      <c r="G103">
        <v>11624639</v>
      </c>
      <c r="H103">
        <v>11624639</v>
      </c>
      <c r="I103">
        <v>10469389</v>
      </c>
      <c r="J103">
        <v>1628611968</v>
      </c>
      <c r="K103" t="s">
        <v>44</v>
      </c>
      <c r="L103" t="s">
        <v>269</v>
      </c>
      <c r="M103" t="s">
        <v>18</v>
      </c>
      <c r="N103">
        <v>1628611923.8999999</v>
      </c>
      <c r="O103" t="str">
        <f t="shared" si="3"/>
        <v>Industrials</v>
      </c>
    </row>
    <row r="104" spans="1:15" x14ac:dyDescent="0.25">
      <c r="A104" t="str">
        <f t="shared" si="2"/>
        <v>MRBK</v>
      </c>
      <c r="B104" t="s">
        <v>270</v>
      </c>
      <c r="C104" t="s">
        <v>271</v>
      </c>
      <c r="D104">
        <v>1.3429388739878741E-4</v>
      </c>
      <c r="E104">
        <v>11285278</v>
      </c>
      <c r="F104">
        <v>12.89</v>
      </c>
      <c r="G104">
        <v>11285278</v>
      </c>
      <c r="H104">
        <v>11285278</v>
      </c>
      <c r="I104">
        <v>9738752</v>
      </c>
      <c r="J104">
        <v>145467232</v>
      </c>
      <c r="K104" t="s">
        <v>48</v>
      </c>
      <c r="L104" t="s">
        <v>49</v>
      </c>
      <c r="M104" t="s">
        <v>18</v>
      </c>
      <c r="N104">
        <v>145467233.42000002</v>
      </c>
      <c r="O104" t="str">
        <f t="shared" si="3"/>
        <v>Financials</v>
      </c>
    </row>
    <row r="105" spans="1:15" x14ac:dyDescent="0.25">
      <c r="A105" t="str">
        <f t="shared" si="2"/>
        <v>ACNB</v>
      </c>
      <c r="B105" t="s">
        <v>272</v>
      </c>
      <c r="C105" t="s">
        <v>273</v>
      </c>
      <c r="D105">
        <v>4.1699646596137879E-4</v>
      </c>
      <c r="E105">
        <v>10543671</v>
      </c>
      <c r="F105">
        <v>42.84</v>
      </c>
      <c r="G105">
        <v>10543671</v>
      </c>
      <c r="H105">
        <v>10473686</v>
      </c>
      <c r="I105">
        <v>10006916</v>
      </c>
      <c r="J105">
        <v>448692704</v>
      </c>
      <c r="K105" t="s">
        <v>48</v>
      </c>
      <c r="L105" t="s">
        <v>49</v>
      </c>
      <c r="M105" t="s">
        <v>18</v>
      </c>
      <c r="N105">
        <v>451690865.64000005</v>
      </c>
      <c r="O105" t="str">
        <f t="shared" si="3"/>
        <v>Financials</v>
      </c>
    </row>
    <row r="106" spans="1:15" x14ac:dyDescent="0.25">
      <c r="A106" t="str">
        <f t="shared" si="2"/>
        <v>FSTR</v>
      </c>
      <c r="B106" t="s">
        <v>274</v>
      </c>
      <c r="C106" t="s">
        <v>275</v>
      </c>
      <c r="D106">
        <v>2.1214752363765885E-4</v>
      </c>
      <c r="E106">
        <v>10507469</v>
      </c>
      <c r="F106">
        <v>21.87</v>
      </c>
      <c r="G106">
        <v>10507469</v>
      </c>
      <c r="H106">
        <v>10559308</v>
      </c>
      <c r="I106">
        <v>8333181</v>
      </c>
      <c r="J106">
        <v>230932064</v>
      </c>
      <c r="K106" t="s">
        <v>44</v>
      </c>
      <c r="L106" t="s">
        <v>105</v>
      </c>
      <c r="M106" t="s">
        <v>18</v>
      </c>
      <c r="N106">
        <v>229798347.03</v>
      </c>
      <c r="O106" t="str">
        <f t="shared" si="3"/>
        <v>Industrials</v>
      </c>
    </row>
    <row r="107" spans="1:15" x14ac:dyDescent="0.25">
      <c r="A107" t="str">
        <f t="shared" si="2"/>
        <v>ESSA</v>
      </c>
      <c r="B107" t="s">
        <v>276</v>
      </c>
      <c r="C107" t="s">
        <v>277</v>
      </c>
      <c r="D107">
        <v>1.8186886401497967E-4</v>
      </c>
      <c r="E107">
        <v>10154664</v>
      </c>
      <c r="F107">
        <v>19.399999999999999</v>
      </c>
      <c r="G107">
        <v>10154664</v>
      </c>
      <c r="H107">
        <v>10154664</v>
      </c>
      <c r="I107">
        <v>8223943</v>
      </c>
      <c r="J107">
        <v>197000480</v>
      </c>
      <c r="K107" t="s">
        <v>48</v>
      </c>
      <c r="L107" t="s">
        <v>49</v>
      </c>
      <c r="M107" t="s">
        <v>18</v>
      </c>
      <c r="N107">
        <v>197000481.59999999</v>
      </c>
      <c r="O107" t="str">
        <f t="shared" si="3"/>
        <v>Financials</v>
      </c>
    </row>
    <row r="108" spans="1:15" x14ac:dyDescent="0.25">
      <c r="A108" t="str">
        <f t="shared" si="2"/>
        <v>OFLX</v>
      </c>
      <c r="B108" t="s">
        <v>278</v>
      </c>
      <c r="C108" t="s">
        <v>279</v>
      </c>
      <c r="D108">
        <v>3.0174846180213149E-4</v>
      </c>
      <c r="E108">
        <v>10094322</v>
      </c>
      <c r="F108">
        <v>32.380000000000003</v>
      </c>
      <c r="G108">
        <v>10094322</v>
      </c>
      <c r="H108">
        <v>10094322</v>
      </c>
      <c r="I108">
        <v>3518154</v>
      </c>
      <c r="J108">
        <v>326854144</v>
      </c>
      <c r="K108" t="s">
        <v>44</v>
      </c>
      <c r="L108" t="s">
        <v>105</v>
      </c>
      <c r="M108" t="s">
        <v>18</v>
      </c>
      <c r="N108">
        <v>326854146.36000001</v>
      </c>
      <c r="O108" t="str">
        <f t="shared" si="3"/>
        <v>Industrials</v>
      </c>
    </row>
    <row r="109" spans="1:15" x14ac:dyDescent="0.25">
      <c r="A109" t="str">
        <f t="shared" si="2"/>
        <v>PFIS</v>
      </c>
      <c r="B109" t="s">
        <v>280</v>
      </c>
      <c r="C109" t="s">
        <v>281</v>
      </c>
      <c r="D109">
        <v>4.5557300113373278E-4</v>
      </c>
      <c r="E109">
        <v>9995483</v>
      </c>
      <c r="F109">
        <v>49.37</v>
      </c>
      <c r="G109">
        <v>9995483</v>
      </c>
      <c r="H109">
        <v>9995482</v>
      </c>
      <c r="I109">
        <v>8980525</v>
      </c>
      <c r="J109">
        <v>493476960</v>
      </c>
      <c r="K109" t="s">
        <v>48</v>
      </c>
      <c r="L109" t="s">
        <v>49</v>
      </c>
      <c r="M109" t="s">
        <v>18</v>
      </c>
      <c r="N109">
        <v>493476995.70999998</v>
      </c>
      <c r="O109" t="str">
        <f t="shared" si="3"/>
        <v>Financials</v>
      </c>
    </row>
    <row r="110" spans="1:15" x14ac:dyDescent="0.25">
      <c r="A110" t="str">
        <f t="shared" si="2"/>
        <v>NWFL</v>
      </c>
      <c r="B110" t="s">
        <v>282</v>
      </c>
      <c r="C110" t="s">
        <v>283</v>
      </c>
      <c r="D110">
        <v>2.2037266118994902E-4</v>
      </c>
      <c r="E110">
        <v>9259419</v>
      </c>
      <c r="F110">
        <v>25.78</v>
      </c>
      <c r="G110">
        <v>9259419</v>
      </c>
      <c r="H110">
        <v>9260522</v>
      </c>
      <c r="I110">
        <v>7935200</v>
      </c>
      <c r="J110">
        <v>238736256</v>
      </c>
      <c r="K110" t="s">
        <v>48</v>
      </c>
      <c r="L110" t="s">
        <v>49</v>
      </c>
      <c r="M110" t="s">
        <v>18</v>
      </c>
      <c r="N110">
        <v>238707821.82000002</v>
      </c>
      <c r="O110" t="str">
        <f t="shared" si="3"/>
        <v>Financials</v>
      </c>
    </row>
    <row r="111" spans="1:15" x14ac:dyDescent="0.25">
      <c r="A111" t="str">
        <f t="shared" si="2"/>
        <v>PWOD</v>
      </c>
      <c r="B111" t="s">
        <v>284</v>
      </c>
      <c r="C111" t="s">
        <v>285</v>
      </c>
      <c r="D111">
        <v>2.1341154608936518E-4</v>
      </c>
      <c r="E111">
        <v>7614214</v>
      </c>
      <c r="F111">
        <v>30.36</v>
      </c>
      <c r="G111">
        <v>7614214</v>
      </c>
      <c r="H111">
        <v>7614214</v>
      </c>
      <c r="I111">
        <v>7104681</v>
      </c>
      <c r="J111">
        <v>231167536</v>
      </c>
      <c r="K111" t="s">
        <v>48</v>
      </c>
      <c r="L111" t="s">
        <v>49</v>
      </c>
      <c r="M111" t="s">
        <v>18</v>
      </c>
      <c r="N111">
        <v>231167537.03999999</v>
      </c>
      <c r="O111" t="str">
        <f t="shared" si="3"/>
        <v>Financials</v>
      </c>
    </row>
    <row r="112" spans="1:15" x14ac:dyDescent="0.25">
      <c r="A112" t="str">
        <f t="shared" si="2"/>
        <v>FDBC</v>
      </c>
      <c r="B112" t="s">
        <v>286</v>
      </c>
      <c r="C112" t="s">
        <v>287</v>
      </c>
      <c r="D112">
        <v>2.4492690868373076E-4</v>
      </c>
      <c r="E112">
        <v>5767500</v>
      </c>
      <c r="F112">
        <v>46</v>
      </c>
      <c r="G112">
        <v>5767500</v>
      </c>
      <c r="H112">
        <v>5767500</v>
      </c>
      <c r="I112">
        <v>4457537</v>
      </c>
      <c r="J112">
        <v>265304992</v>
      </c>
      <c r="K112" t="s">
        <v>48</v>
      </c>
      <c r="L112" t="s">
        <v>49</v>
      </c>
      <c r="M112" t="s">
        <v>18</v>
      </c>
      <c r="N112">
        <v>265305000</v>
      </c>
      <c r="O112" t="str">
        <f t="shared" si="3"/>
        <v>Financials</v>
      </c>
    </row>
    <row r="113" spans="1:15" x14ac:dyDescent="0.25">
      <c r="A113" t="str">
        <f t="shared" si="2"/>
        <v>CBFV</v>
      </c>
      <c r="B113" t="s">
        <v>288</v>
      </c>
      <c r="C113" t="s">
        <v>289</v>
      </c>
      <c r="D113">
        <v>1.3416116322364339E-4</v>
      </c>
      <c r="E113">
        <v>5099069</v>
      </c>
      <c r="F113">
        <v>28.5</v>
      </c>
      <c r="G113">
        <v>5099069</v>
      </c>
      <c r="H113">
        <v>5023242</v>
      </c>
      <c r="I113">
        <v>4502365</v>
      </c>
      <c r="J113">
        <v>143162400</v>
      </c>
      <c r="K113" t="s">
        <v>48</v>
      </c>
      <c r="L113" t="s">
        <v>49</v>
      </c>
      <c r="M113" t="s">
        <v>18</v>
      </c>
      <c r="N113">
        <v>145323466.5</v>
      </c>
      <c r="O113" t="str">
        <f t="shared" si="3"/>
        <v>Financials</v>
      </c>
    </row>
    <row r="114" spans="1:15" x14ac:dyDescent="0.25">
      <c r="A114" t="str">
        <f t="shared" si="2"/>
        <v>CZFS</v>
      </c>
      <c r="B114" t="s">
        <v>290</v>
      </c>
      <c r="C114" t="s">
        <v>291</v>
      </c>
      <c r="D114">
        <v>2.6060066071347947E-4</v>
      </c>
      <c r="E114">
        <v>4807268.72</v>
      </c>
      <c r="F114">
        <v>58.72</v>
      </c>
      <c r="G114">
        <v>4807268.72</v>
      </c>
      <c r="H114">
        <v>4807269</v>
      </c>
      <c r="I114">
        <v>4471479</v>
      </c>
      <c r="J114">
        <v>282282848</v>
      </c>
      <c r="K114" t="s">
        <v>48</v>
      </c>
      <c r="L114" t="s">
        <v>49</v>
      </c>
      <c r="M114" t="s">
        <v>18</v>
      </c>
      <c r="N114">
        <v>282282819.23839998</v>
      </c>
      <c r="O114" t="str">
        <f t="shared" si="3"/>
        <v>Financials</v>
      </c>
    </row>
    <row r="115" spans="1:15" x14ac:dyDescent="0.25">
      <c r="A115" t="str">
        <f t="shared" si="2"/>
        <v>FRAF</v>
      </c>
      <c r="B115" t="s">
        <v>292</v>
      </c>
      <c r="C115" t="s">
        <v>293</v>
      </c>
      <c r="D115">
        <v>1.42386333512249E-4</v>
      </c>
      <c r="E115">
        <v>4454382</v>
      </c>
      <c r="F115">
        <v>34.625</v>
      </c>
      <c r="G115">
        <v>4454382</v>
      </c>
      <c r="H115">
        <v>4458298</v>
      </c>
      <c r="I115">
        <v>4148512</v>
      </c>
      <c r="J115">
        <v>154368576</v>
      </c>
      <c r="K115" t="s">
        <v>48</v>
      </c>
      <c r="L115" t="s">
        <v>49</v>
      </c>
      <c r="M115" t="s">
        <v>18</v>
      </c>
      <c r="N115">
        <v>154232976.75</v>
      </c>
      <c r="O115" t="str">
        <f t="shared" si="3"/>
        <v>Financials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B3ECA1FBD8194D9D0DAE8F59A52906" ma:contentTypeVersion="16" ma:contentTypeDescription="Create a new document." ma:contentTypeScope="" ma:versionID="2ebb44d756f0a28666e5c462460ef7f0">
  <xsd:schema xmlns:xsd="http://www.w3.org/2001/XMLSchema" xmlns:xs="http://www.w3.org/2001/XMLSchema" xmlns:p="http://schemas.microsoft.com/office/2006/metadata/properties" xmlns:ns3="cf27c8de-009b-4d03-8246-9c3e18199a0b" xmlns:ns4="bff40e4c-6a1e-454a-8c5e-34c5ad13c7e0" targetNamespace="http://schemas.microsoft.com/office/2006/metadata/properties" ma:root="true" ma:fieldsID="97b8ce142f6e715b7dd508a746381f1e" ns3:_="" ns4:_="">
    <xsd:import namespace="cf27c8de-009b-4d03-8246-9c3e18199a0b"/>
    <xsd:import namespace="bff40e4c-6a1e-454a-8c5e-34c5ad13c7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7c8de-009b-4d03-8246-9c3e18199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40e4c-6a1e-454a-8c5e-34c5ad13c7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27c8de-009b-4d03-8246-9c3e18199a0b" xsi:nil="true"/>
  </documentManagement>
</p:properties>
</file>

<file path=customXml/itemProps1.xml><?xml version="1.0" encoding="utf-8"?>
<ds:datastoreItem xmlns:ds="http://schemas.openxmlformats.org/officeDocument/2006/customXml" ds:itemID="{5C2428EE-7CF3-4F0C-9454-085F76A3A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7c8de-009b-4d03-8246-9c3e18199a0b"/>
    <ds:schemaRef ds:uri="bff40e4c-6a1e-454a-8c5e-34c5ad13c7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E16B87-516F-4FFF-85FD-8B245F1AA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0504D7-1033-49D4-A7C9-C4F04805492D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ff40e4c-6a1e-454a-8c5e-34c5ad13c7e0"/>
    <ds:schemaRef ds:uri="cf27c8de-009b-4d03-8246-9c3e18199a0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Concepcion, Wilberto [concepcionw]</dc:creator>
  <cp:lastModifiedBy>Concepcion, Wilberto [concepcionw]</cp:lastModifiedBy>
  <dcterms:created xsi:type="dcterms:W3CDTF">2025-10-12T00:11:41Z</dcterms:created>
  <dcterms:modified xsi:type="dcterms:W3CDTF">2025-10-12T03:15:28Z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0x010100BEB3ECA1FBD8194D9D0DAE8F59A52906</vt:lpwstr>
  </property>
</Properties>
</file>